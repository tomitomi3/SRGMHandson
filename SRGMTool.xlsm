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harts/chart3.xml" ContentType="application/vnd.openxmlformats-officedocument.drawingml.chart+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charts/chart4.xml" ContentType="application/vnd.openxmlformats-officedocument.drawingml.chart+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charts/chart5.xml" ContentType="application/vnd.openxmlformats-officedocument.drawingml.chart+xml"/>
  <Override PartName="/xl/drawings/drawing6.xml" ContentType="application/vnd.openxmlformats-officedocument.drawing+xml"/>
  <Override PartName="/xl/activeX/activeX7.xml" ContentType="application/vnd.ms-office.activeX+xml"/>
  <Override PartName="/xl/activeX/activeX7.bin" ContentType="application/vnd.ms-office.activeX"/>
  <Override PartName="/xl/charts/chart6.xml" ContentType="application/vnd.openxmlformats-officedocument.drawingml.chart+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charts/chart7.xml" ContentType="application/vnd.openxmlformats-officedocument.drawingml.chart+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charts/chart8.xml" ContentType="application/vnd.openxmlformats-officedocument.drawingml.chart+xml"/>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charts/chart9.xml" ContentType="application/vnd.openxmlformats-officedocument.drawingml.chart+xml"/>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charts/chart10.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Dropbox\20210924_信頼度成長曲線の書き方_ハンズオン\"/>
    </mc:Choice>
  </mc:AlternateContent>
  <xr:revisionPtr revIDLastSave="0" documentId="13_ncr:1_{99C2B42C-371C-43D2-A3C9-EAF082A763C4}" xr6:coauthVersionLast="47" xr6:coauthVersionMax="47" xr10:uidLastSave="{00000000-0000-0000-0000-000000000000}"/>
  <bookViews>
    <workbookView xWindow="2775" yWindow="960" windowWidth="22320" windowHeight="13635" tabRatio="880" xr2:uid="{00000000-000D-0000-FFFF-FFFF00000000}"/>
  </bookViews>
  <sheets>
    <sheet name="概要" sheetId="19" r:id="rId1"/>
    <sheet name="データ入力" sheetId="6" r:id="rId2"/>
    <sheet name="ロジスティック" sheetId="7" r:id="rId3"/>
    <sheet name="指数" sheetId="8" r:id="rId4"/>
    <sheet name="ゴンペルツ" sheetId="14" r:id="rId5"/>
    <sheet name="指数一般化" sheetId="21" r:id="rId6"/>
    <sheet name="習熟S字" sheetId="11" r:id="rId7"/>
    <sheet name="遅延S字" sheetId="13" r:id="rId8"/>
    <sheet name="習熟S字_3変数" sheetId="22" r:id="rId9"/>
    <sheet name="修正指数" sheetId="25" r:id="rId10"/>
  </sheets>
  <functionGroups builtInGroupCount="19"/>
  <definedNames>
    <definedName name="solver_adj" localSheetId="4" hidden="1">ゴンペルツ!$C$4:$C$6</definedName>
    <definedName name="solver_adj" localSheetId="2" hidden="1">ロジスティック!$C$4:$C$6</definedName>
    <definedName name="solver_adj" localSheetId="3" hidden="1">指数!$C$4:$C$5</definedName>
    <definedName name="solver_adj" localSheetId="5" hidden="1">指数一般化!$C$4:$C$6</definedName>
    <definedName name="solver_adj" localSheetId="6" hidden="1">習熟S字!$C$4:$C$5</definedName>
    <definedName name="solver_adj" localSheetId="8" hidden="1">習熟S字_3変数!$C$4:$C$6</definedName>
    <definedName name="solver_adj" localSheetId="7" hidden="1">遅延S字!$C$4:$C$5</definedName>
    <definedName name="solver_cvg" localSheetId="4" hidden="1">0.0001</definedName>
    <definedName name="solver_cvg" localSheetId="2" hidden="1">0.0001</definedName>
    <definedName name="solver_cvg" localSheetId="3" hidden="1">0.0001</definedName>
    <definedName name="solver_cvg" localSheetId="5" hidden="1">0.0001</definedName>
    <definedName name="solver_cvg" localSheetId="9" hidden="1">0.0001</definedName>
    <definedName name="solver_cvg" localSheetId="6" hidden="1">0.0001</definedName>
    <definedName name="solver_cvg" localSheetId="8" hidden="1">0.0001</definedName>
    <definedName name="solver_cvg" localSheetId="7" hidden="1">0.0001</definedName>
    <definedName name="solver_drv" localSheetId="4" hidden="1">1</definedName>
    <definedName name="solver_drv" localSheetId="2" hidden="1">1</definedName>
    <definedName name="solver_drv" localSheetId="3" hidden="1">1</definedName>
    <definedName name="solver_drv" localSheetId="5" hidden="1">1</definedName>
    <definedName name="solver_drv" localSheetId="9" hidden="1">1</definedName>
    <definedName name="solver_drv" localSheetId="6" hidden="1">1</definedName>
    <definedName name="solver_drv" localSheetId="8" hidden="1">1</definedName>
    <definedName name="solver_drv" localSheetId="7" hidden="1">1</definedName>
    <definedName name="solver_eng" localSheetId="4" hidden="1">1</definedName>
    <definedName name="solver_eng" localSheetId="1" hidden="1">1</definedName>
    <definedName name="solver_eng" localSheetId="2" hidden="1">1</definedName>
    <definedName name="solver_eng" localSheetId="3" hidden="1">1</definedName>
    <definedName name="solver_eng" localSheetId="5" hidden="1">1</definedName>
    <definedName name="solver_eng" localSheetId="9" hidden="1">1</definedName>
    <definedName name="solver_eng" localSheetId="6" hidden="1">1</definedName>
    <definedName name="solver_eng" localSheetId="8" hidden="1">1</definedName>
    <definedName name="solver_eng" localSheetId="7" hidden="1">1</definedName>
    <definedName name="solver_est" localSheetId="4" hidden="1">1</definedName>
    <definedName name="solver_est" localSheetId="2" hidden="1">1</definedName>
    <definedName name="solver_est" localSheetId="3" hidden="1">1</definedName>
    <definedName name="solver_est" localSheetId="5" hidden="1">1</definedName>
    <definedName name="solver_est" localSheetId="9" hidden="1">1</definedName>
    <definedName name="solver_est" localSheetId="6" hidden="1">1</definedName>
    <definedName name="solver_est" localSheetId="8" hidden="1">1</definedName>
    <definedName name="solver_est" localSheetId="7" hidden="1">1</definedName>
    <definedName name="solver_itr" localSheetId="4" hidden="1">200</definedName>
    <definedName name="solver_itr" localSheetId="2" hidden="1">200</definedName>
    <definedName name="solver_itr" localSheetId="3" hidden="1">200</definedName>
    <definedName name="solver_itr" localSheetId="5" hidden="1">200</definedName>
    <definedName name="solver_itr" localSheetId="9" hidden="1">200</definedName>
    <definedName name="solver_itr" localSheetId="6" hidden="1">200</definedName>
    <definedName name="solver_itr" localSheetId="8" hidden="1">200</definedName>
    <definedName name="solver_itr" localSheetId="7" hidden="1">200</definedName>
    <definedName name="solver_lhs1" localSheetId="9" hidden="1">修正指数!$D$3</definedName>
    <definedName name="solver_lhs10" localSheetId="9" hidden="1">修正指数!$D$3</definedName>
    <definedName name="solver_lhs2" localSheetId="9" hidden="1">修正指数!$D$4</definedName>
    <definedName name="solver_lhs3" localSheetId="9" hidden="1">修正指数!$D$5</definedName>
    <definedName name="solver_lhs4" localSheetId="9" hidden="1">修正指数!$D$2</definedName>
    <definedName name="solver_lhs5" localSheetId="9" hidden="1">修正指数!$D$5</definedName>
    <definedName name="solver_lhs6" localSheetId="9" hidden="1">修正指数!$D$6</definedName>
    <definedName name="solver_lhs7" localSheetId="9" hidden="1">修正指数!$D$6</definedName>
    <definedName name="solver_lhs8" localSheetId="9" hidden="1">修正指数!$D$4</definedName>
    <definedName name="solver_lhs9" localSheetId="9" hidden="1">修正指数!$H$44</definedName>
    <definedName name="solver_lin" localSheetId="4" hidden="1">2</definedName>
    <definedName name="solver_lin" localSheetId="2" hidden="1">2</definedName>
    <definedName name="solver_lin" localSheetId="3" hidden="1">2</definedName>
    <definedName name="solver_lin" localSheetId="5" hidden="1">2</definedName>
    <definedName name="solver_lin" localSheetId="9" hidden="1">2</definedName>
    <definedName name="solver_lin" localSheetId="6" hidden="1">2</definedName>
    <definedName name="solver_lin" localSheetId="8" hidden="1">2</definedName>
    <definedName name="solver_lin" localSheetId="7" hidden="1">2</definedName>
    <definedName name="solver_mip" localSheetId="4" hidden="1">2147483647</definedName>
    <definedName name="solver_mip" localSheetId="2" hidden="1">2147483647</definedName>
    <definedName name="solver_mip" localSheetId="3" hidden="1">2147483647</definedName>
    <definedName name="solver_mip" localSheetId="5" hidden="1">2147483647</definedName>
    <definedName name="solver_mip" localSheetId="9" hidden="1">2147483647</definedName>
    <definedName name="solver_mip" localSheetId="6" hidden="1">2147483647</definedName>
    <definedName name="solver_mip" localSheetId="8" hidden="1">2147483647</definedName>
    <definedName name="solver_mip" localSheetId="7" hidden="1">2147483647</definedName>
    <definedName name="solver_mni" localSheetId="4" hidden="1">30</definedName>
    <definedName name="solver_mni" localSheetId="2" hidden="1">30</definedName>
    <definedName name="solver_mni" localSheetId="3" hidden="1">30</definedName>
    <definedName name="solver_mni" localSheetId="5" hidden="1">30</definedName>
    <definedName name="solver_mni" localSheetId="9" hidden="1">30</definedName>
    <definedName name="solver_mni" localSheetId="6" hidden="1">30</definedName>
    <definedName name="solver_mni" localSheetId="8" hidden="1">30</definedName>
    <definedName name="solver_mni" localSheetId="7" hidden="1">30</definedName>
    <definedName name="solver_mrt" localSheetId="4" hidden="1">0.075</definedName>
    <definedName name="solver_mrt" localSheetId="2" hidden="1">0.075</definedName>
    <definedName name="solver_mrt" localSheetId="3" hidden="1">0.075</definedName>
    <definedName name="solver_mrt" localSheetId="5" hidden="1">0.075</definedName>
    <definedName name="solver_mrt" localSheetId="9" hidden="1">0.075</definedName>
    <definedName name="solver_mrt" localSheetId="6" hidden="1">0.075</definedName>
    <definedName name="solver_mrt" localSheetId="8" hidden="1">0.075</definedName>
    <definedName name="solver_mrt" localSheetId="7" hidden="1">0.075</definedName>
    <definedName name="solver_msl" localSheetId="4" hidden="1">2</definedName>
    <definedName name="solver_msl" localSheetId="1" hidden="1">2</definedName>
    <definedName name="solver_msl" localSheetId="2" hidden="1">2</definedName>
    <definedName name="solver_msl" localSheetId="3" hidden="1">2</definedName>
    <definedName name="solver_msl" localSheetId="5" hidden="1">2</definedName>
    <definedName name="solver_msl" localSheetId="9" hidden="1">2</definedName>
    <definedName name="solver_msl" localSheetId="6" hidden="1">2</definedName>
    <definedName name="solver_msl" localSheetId="8" hidden="1">2</definedName>
    <definedName name="solver_msl" localSheetId="7" hidden="1">2</definedName>
    <definedName name="solver_neg" localSheetId="4" hidden="1">1</definedName>
    <definedName name="solver_neg" localSheetId="1" hidden="1">1</definedName>
    <definedName name="solver_neg" localSheetId="2" hidden="1">1</definedName>
    <definedName name="solver_neg" localSheetId="3" hidden="1">1</definedName>
    <definedName name="solver_neg" localSheetId="5" hidden="1">1</definedName>
    <definedName name="solver_neg" localSheetId="9" hidden="1">1</definedName>
    <definedName name="solver_neg" localSheetId="6" hidden="1">1</definedName>
    <definedName name="solver_neg" localSheetId="8" hidden="1">1</definedName>
    <definedName name="solver_neg" localSheetId="7" hidden="1">1</definedName>
    <definedName name="solver_nod" localSheetId="4" hidden="1">2147483647</definedName>
    <definedName name="solver_nod" localSheetId="2" hidden="1">2147483647</definedName>
    <definedName name="solver_nod" localSheetId="3" hidden="1">2147483647</definedName>
    <definedName name="solver_nod" localSheetId="5" hidden="1">2147483647</definedName>
    <definedName name="solver_nod" localSheetId="9" hidden="1">2147483647</definedName>
    <definedName name="solver_nod" localSheetId="6" hidden="1">2147483647</definedName>
    <definedName name="solver_nod" localSheetId="8" hidden="1">2147483647</definedName>
    <definedName name="solver_nod" localSheetId="7" hidden="1">2147483647</definedName>
    <definedName name="solver_num" localSheetId="4" hidden="1">0</definedName>
    <definedName name="solver_num" localSheetId="1" hidden="1">0</definedName>
    <definedName name="solver_num" localSheetId="2" hidden="1">0</definedName>
    <definedName name="solver_num" localSheetId="3" hidden="1">0</definedName>
    <definedName name="solver_num" localSheetId="5" hidden="1">0</definedName>
    <definedName name="solver_num" localSheetId="9" hidden="1">0</definedName>
    <definedName name="solver_num" localSheetId="6" hidden="1">0</definedName>
    <definedName name="solver_num" localSheetId="8" hidden="1">0</definedName>
    <definedName name="solver_num" localSheetId="7" hidden="1">0</definedName>
    <definedName name="solver_nwt" localSheetId="4" hidden="1">1</definedName>
    <definedName name="solver_nwt" localSheetId="2" hidden="1">1</definedName>
    <definedName name="solver_nwt" localSheetId="3" hidden="1">1</definedName>
    <definedName name="solver_nwt" localSheetId="5" hidden="1">1</definedName>
    <definedName name="solver_nwt" localSheetId="9" hidden="1">1</definedName>
    <definedName name="solver_nwt" localSheetId="6" hidden="1">1</definedName>
    <definedName name="solver_nwt" localSheetId="8" hidden="1">1</definedName>
    <definedName name="solver_nwt" localSheetId="7" hidden="1">1</definedName>
    <definedName name="solver_opt" localSheetId="4" hidden="1">ゴンペルツ!$E$5</definedName>
    <definedName name="solver_opt" localSheetId="2" hidden="1">ロジスティック!$E$5</definedName>
    <definedName name="solver_opt" localSheetId="3" hidden="1">指数!$E$5</definedName>
    <definedName name="solver_opt" localSheetId="5" hidden="1">指数一般化!$E$5</definedName>
    <definedName name="solver_opt" localSheetId="6" hidden="1">習熟S字!$E$5</definedName>
    <definedName name="solver_opt" localSheetId="8" hidden="1">習熟S字_3変数!$E$5</definedName>
    <definedName name="solver_opt" localSheetId="7" hidden="1">遅延S字!$E$5</definedName>
    <definedName name="solver_pre" localSheetId="4" hidden="1">0.000001</definedName>
    <definedName name="solver_pre" localSheetId="2" hidden="1">0.000001</definedName>
    <definedName name="solver_pre" localSheetId="3" hidden="1">0.000001</definedName>
    <definedName name="solver_pre" localSheetId="5" hidden="1">0.000001</definedName>
    <definedName name="solver_pre" localSheetId="9" hidden="1">0.000001</definedName>
    <definedName name="solver_pre" localSheetId="6" hidden="1">0.000001</definedName>
    <definedName name="solver_pre" localSheetId="8" hidden="1">0.000001</definedName>
    <definedName name="solver_pre" localSheetId="7" hidden="1">0.000001</definedName>
    <definedName name="solver_rbv" localSheetId="4" hidden="1">2</definedName>
    <definedName name="solver_rbv" localSheetId="2" hidden="1">2</definedName>
    <definedName name="solver_rbv" localSheetId="3" hidden="1">2</definedName>
    <definedName name="solver_rbv" localSheetId="5" hidden="1">2</definedName>
    <definedName name="solver_rbv" localSheetId="9" hidden="1">2</definedName>
    <definedName name="solver_rbv" localSheetId="6" hidden="1">2</definedName>
    <definedName name="solver_rbv" localSheetId="8" hidden="1">2</definedName>
    <definedName name="solver_rbv" localSheetId="7" hidden="1">2</definedName>
    <definedName name="solver_rel1" localSheetId="9" hidden="1">3</definedName>
    <definedName name="solver_rel10" localSheetId="9" hidden="1">1</definedName>
    <definedName name="solver_rel2" localSheetId="9" hidden="1">1</definedName>
    <definedName name="solver_rel3" localSheetId="9" hidden="1">1</definedName>
    <definedName name="solver_rel4" localSheetId="9" hidden="1">3</definedName>
    <definedName name="solver_rel5" localSheetId="9" hidden="1">3</definedName>
    <definedName name="solver_rel6" localSheetId="9" hidden="1">3</definedName>
    <definedName name="solver_rel7" localSheetId="9" hidden="1">1</definedName>
    <definedName name="solver_rel8" localSheetId="9" hidden="1">3</definedName>
    <definedName name="solver_rel9" localSheetId="9" hidden="1">2</definedName>
    <definedName name="solver_rhs1" localSheetId="9" hidden="1">0</definedName>
    <definedName name="solver_rhs10" localSheetId="9" hidden="1">1</definedName>
    <definedName name="solver_rhs2" localSheetId="9" hidden="1">1</definedName>
    <definedName name="solver_rhs3" localSheetId="9" hidden="1">1</definedName>
    <definedName name="solver_rhs4" localSheetId="9" hidden="1">0</definedName>
    <definedName name="solver_rhs5" localSheetId="9" hidden="1">0</definedName>
    <definedName name="solver_rhs6" localSheetId="9" hidden="1">0</definedName>
    <definedName name="solver_rhs7" localSheetId="9" hidden="1">修正指数!$D$4</definedName>
    <definedName name="solver_rhs8" localSheetId="9" hidden="1">0</definedName>
    <definedName name="solver_rhs9" localSheetId="9" hidden="1">1</definedName>
    <definedName name="solver_rlx" localSheetId="4" hidden="1">1</definedName>
    <definedName name="solver_rlx" localSheetId="2" hidden="1">1</definedName>
    <definedName name="solver_rlx" localSheetId="3" hidden="1">1</definedName>
    <definedName name="solver_rlx" localSheetId="5" hidden="1">1</definedName>
    <definedName name="solver_rlx" localSheetId="9" hidden="1">1</definedName>
    <definedName name="solver_rlx" localSheetId="6" hidden="1">1</definedName>
    <definedName name="solver_rlx" localSheetId="8" hidden="1">1</definedName>
    <definedName name="solver_rlx" localSheetId="7" hidden="1">1</definedName>
    <definedName name="solver_rsd" localSheetId="4" hidden="1">0</definedName>
    <definedName name="solver_rsd" localSheetId="2" hidden="1">0</definedName>
    <definedName name="solver_rsd" localSheetId="3" hidden="1">0</definedName>
    <definedName name="solver_rsd" localSheetId="5" hidden="1">0</definedName>
    <definedName name="solver_rsd" localSheetId="9" hidden="1">0</definedName>
    <definedName name="solver_rsd" localSheetId="6" hidden="1">0</definedName>
    <definedName name="solver_rsd" localSheetId="8" hidden="1">0</definedName>
    <definedName name="solver_rsd" localSheetId="7" hidden="1">0</definedName>
    <definedName name="solver_scl" localSheetId="4" hidden="1">0</definedName>
    <definedName name="solver_scl" localSheetId="2" hidden="1">0</definedName>
    <definedName name="solver_scl" localSheetId="3" hidden="1">0</definedName>
    <definedName name="solver_scl" localSheetId="5" hidden="1">0</definedName>
    <definedName name="solver_scl" localSheetId="9" hidden="1">0</definedName>
    <definedName name="solver_scl" localSheetId="6" hidden="1">0</definedName>
    <definedName name="solver_scl" localSheetId="8" hidden="1">0</definedName>
    <definedName name="solver_scl" localSheetId="7" hidden="1">0</definedName>
    <definedName name="solver_sho" localSheetId="4" hidden="1">2</definedName>
    <definedName name="solver_sho" localSheetId="2" hidden="1">2</definedName>
    <definedName name="solver_sho" localSheetId="3" hidden="1">2</definedName>
    <definedName name="solver_sho" localSheetId="5" hidden="1">2</definedName>
    <definedName name="solver_sho" localSheetId="9" hidden="1">2</definedName>
    <definedName name="solver_sho" localSheetId="6" hidden="1">2</definedName>
    <definedName name="solver_sho" localSheetId="8" hidden="1">2</definedName>
    <definedName name="solver_sho" localSheetId="7" hidden="1">2</definedName>
    <definedName name="solver_ssz" localSheetId="4" hidden="1">5</definedName>
    <definedName name="solver_ssz" localSheetId="2" hidden="1">5</definedName>
    <definedName name="solver_ssz" localSheetId="3" hidden="1">5</definedName>
    <definedName name="solver_ssz" localSheetId="5" hidden="1">5</definedName>
    <definedName name="solver_ssz" localSheetId="9" hidden="1">3</definedName>
    <definedName name="solver_ssz" localSheetId="6" hidden="1">5</definedName>
    <definedName name="solver_ssz" localSheetId="8" hidden="1">5</definedName>
    <definedName name="solver_ssz" localSheetId="7" hidden="1">5</definedName>
    <definedName name="solver_tim" localSheetId="4" hidden="1">100</definedName>
    <definedName name="solver_tim" localSheetId="2" hidden="1">100</definedName>
    <definedName name="solver_tim" localSheetId="3" hidden="1">100</definedName>
    <definedName name="solver_tim" localSheetId="5" hidden="1">100</definedName>
    <definedName name="solver_tim" localSheetId="9" hidden="1">100</definedName>
    <definedName name="solver_tim" localSheetId="6" hidden="1">100</definedName>
    <definedName name="solver_tim" localSheetId="8" hidden="1">100</definedName>
    <definedName name="solver_tim" localSheetId="7" hidden="1">100</definedName>
    <definedName name="solver_tol" localSheetId="4" hidden="1">0.05</definedName>
    <definedName name="solver_tol" localSheetId="2" hidden="1">0.05</definedName>
    <definedName name="solver_tol" localSheetId="3" hidden="1">0.05</definedName>
    <definedName name="solver_tol" localSheetId="5" hidden="1">0.05</definedName>
    <definedName name="solver_tol" localSheetId="9" hidden="1">0.05</definedName>
    <definedName name="solver_tol" localSheetId="6" hidden="1">0.05</definedName>
    <definedName name="solver_tol" localSheetId="8" hidden="1">0.05</definedName>
    <definedName name="solver_tol" localSheetId="7" hidden="1">0.05</definedName>
    <definedName name="solver_typ" localSheetId="4" hidden="1">2</definedName>
    <definedName name="solver_typ" localSheetId="1" hidden="1">1</definedName>
    <definedName name="solver_typ" localSheetId="2" hidden="1">2</definedName>
    <definedName name="solver_typ" localSheetId="3" hidden="1">2</definedName>
    <definedName name="solver_typ" localSheetId="5" hidden="1">2</definedName>
    <definedName name="solver_typ" localSheetId="9" hidden="1">1</definedName>
    <definedName name="solver_typ" localSheetId="6" hidden="1">2</definedName>
    <definedName name="solver_typ" localSheetId="8" hidden="1">2</definedName>
    <definedName name="solver_typ" localSheetId="7" hidden="1">2</definedName>
    <definedName name="solver_val" localSheetId="4" hidden="1">0</definedName>
    <definedName name="solver_val" localSheetId="1" hidden="1">0</definedName>
    <definedName name="solver_val" localSheetId="2" hidden="1">0</definedName>
    <definedName name="solver_val" localSheetId="3" hidden="1">0</definedName>
    <definedName name="solver_val" localSheetId="5" hidden="1">0</definedName>
    <definedName name="solver_val" localSheetId="9" hidden="1">0</definedName>
    <definedName name="solver_val" localSheetId="6" hidden="1">0</definedName>
    <definedName name="solver_val" localSheetId="8" hidden="1">0</definedName>
    <definedName name="solver_val" localSheetId="7" hidden="1">0</definedName>
    <definedName name="solver_ver" localSheetId="4" hidden="1">3</definedName>
    <definedName name="solver_ver" localSheetId="1" hidden="1">3</definedName>
    <definedName name="solver_ver" localSheetId="2" hidden="1">3</definedName>
    <definedName name="solver_ver" localSheetId="3" hidden="1">3</definedName>
    <definedName name="solver_ver" localSheetId="5" hidden="1">3</definedName>
    <definedName name="solver_ver" localSheetId="9" hidden="1">3</definedName>
    <definedName name="solver_ver" localSheetId="6" hidden="1">3</definedName>
    <definedName name="solver_ver" localSheetId="8" hidden="1">3</definedName>
    <definedName name="solver_ver" localSheetId="7" hidden="1">3</definedName>
  </definedNames>
  <calcPr calcId="181029"/>
</workbook>
</file>

<file path=xl/calcChain.xml><?xml version="1.0" encoding="utf-8"?>
<calcChain xmlns="http://schemas.openxmlformats.org/spreadsheetml/2006/main">
  <c r="D11" i="21" l="1"/>
  <c r="D12" i="21"/>
  <c r="D13" i="21"/>
  <c r="D14" i="21"/>
  <c r="D15" i="21"/>
  <c r="D16" i="21"/>
  <c r="D17" i="21"/>
  <c r="D18" i="21"/>
  <c r="D19" i="21"/>
  <c r="D20" i="21"/>
  <c r="D21" i="21"/>
  <c r="D22" i="21"/>
  <c r="D23" i="21"/>
  <c r="D24" i="21"/>
  <c r="D25" i="21"/>
  <c r="D26" i="21"/>
  <c r="D27" i="21"/>
  <c r="D28" i="21"/>
  <c r="D29" i="21"/>
  <c r="D30" i="21"/>
  <c r="D31" i="21"/>
  <c r="D32" i="21"/>
  <c r="D33" i="21"/>
  <c r="D34" i="21"/>
  <c r="D35" i="21"/>
  <c r="D36" i="21"/>
  <c r="D37" i="21"/>
  <c r="D38" i="21"/>
  <c r="D39" i="21"/>
  <c r="D40" i="21"/>
  <c r="D41" i="21"/>
  <c r="D42" i="21"/>
  <c r="D43" i="21"/>
  <c r="D44" i="21"/>
  <c r="D45" i="21"/>
  <c r="D46" i="21"/>
  <c r="D47" i="21"/>
  <c r="D48" i="21"/>
  <c r="D49" i="21"/>
  <c r="D50" i="21"/>
  <c r="D51" i="21"/>
  <c r="D52" i="21"/>
  <c r="D53" i="21"/>
  <c r="D54" i="21"/>
  <c r="D55" i="21"/>
  <c r="D56" i="21"/>
  <c r="D57" i="21"/>
  <c r="D58" i="21"/>
  <c r="D59" i="21"/>
  <c r="D60" i="21"/>
  <c r="D61" i="21"/>
  <c r="D62" i="21"/>
  <c r="D63" i="21"/>
  <c r="D64" i="21"/>
  <c r="D65" i="21"/>
  <c r="D66" i="21"/>
  <c r="D67" i="21"/>
  <c r="D68" i="21"/>
  <c r="D69" i="21"/>
  <c r="D70" i="21"/>
  <c r="D71" i="21"/>
  <c r="D72" i="21"/>
  <c r="D73" i="21"/>
  <c r="D74" i="21"/>
  <c r="D75" i="21"/>
  <c r="D76" i="21"/>
  <c r="D77" i="21"/>
  <c r="D78" i="21"/>
  <c r="D79" i="21"/>
  <c r="D80" i="21"/>
  <c r="D81" i="21"/>
  <c r="D82" i="21"/>
  <c r="D83" i="21"/>
  <c r="D84" i="21"/>
  <c r="D85" i="21"/>
  <c r="D86" i="21"/>
  <c r="D87" i="21"/>
  <c r="D88" i="21"/>
  <c r="D89" i="21"/>
  <c r="D90" i="21"/>
  <c r="D91" i="21"/>
  <c r="D92" i="21"/>
  <c r="D93" i="21"/>
  <c r="D94" i="21"/>
  <c r="D95" i="21"/>
  <c r="D96" i="21"/>
  <c r="D97" i="21"/>
  <c r="D98" i="21"/>
  <c r="D99" i="21"/>
  <c r="D100" i="21"/>
  <c r="D101" i="21"/>
  <c r="D102" i="21"/>
  <c r="D103" i="21"/>
  <c r="D104" i="21"/>
  <c r="D105" i="21"/>
  <c r="D106" i="21"/>
  <c r="D107" i="21"/>
  <c r="D108" i="21"/>
  <c r="D109" i="21"/>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0" i="8"/>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85" i="7"/>
  <c r="D86" i="7"/>
  <c r="D87" i="7"/>
  <c r="D88" i="7"/>
  <c r="D89" i="7"/>
  <c r="D90" i="7"/>
  <c r="D91" i="7"/>
  <c r="D92" i="7"/>
  <c r="D93" i="7"/>
  <c r="D94" i="7"/>
  <c r="D95" i="7"/>
  <c r="D96" i="7"/>
  <c r="D97" i="7"/>
  <c r="D98" i="7"/>
  <c r="D99" i="7"/>
  <c r="D100" i="7"/>
  <c r="D101" i="7"/>
  <c r="D102" i="7"/>
  <c r="D103" i="7"/>
  <c r="D104" i="7"/>
  <c r="D105" i="7"/>
  <c r="D106" i="7"/>
  <c r="D107" i="7"/>
  <c r="D108" i="7"/>
  <c r="D109" i="7"/>
  <c r="D10" i="7"/>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0" i="25"/>
  <c r="D11" i="22"/>
  <c r="D12" i="22"/>
  <c r="D13" i="22"/>
  <c r="D14" i="22"/>
  <c r="D15" i="22"/>
  <c r="D16" i="22"/>
  <c r="D17" i="22"/>
  <c r="D18" i="22"/>
  <c r="D19" i="22"/>
  <c r="D20" i="22"/>
  <c r="D21" i="22"/>
  <c r="D22" i="22"/>
  <c r="D23" i="22"/>
  <c r="D24" i="22"/>
  <c r="D25" i="22"/>
  <c r="D26" i="22"/>
  <c r="D27" i="22"/>
  <c r="D28" i="22"/>
  <c r="D29" i="22"/>
  <c r="D30" i="22"/>
  <c r="D31" i="22"/>
  <c r="D32" i="22"/>
  <c r="D33" i="22"/>
  <c r="D34" i="22"/>
  <c r="D35" i="22"/>
  <c r="D36" i="22"/>
  <c r="D37" i="22"/>
  <c r="D38" i="22"/>
  <c r="D39" i="22"/>
  <c r="D40" i="22"/>
  <c r="D41" i="22"/>
  <c r="D42" i="22"/>
  <c r="D43" i="22"/>
  <c r="D44" i="22"/>
  <c r="D45" i="22"/>
  <c r="D46" i="22"/>
  <c r="D47" i="22"/>
  <c r="D48" i="22"/>
  <c r="D49" i="22"/>
  <c r="D50" i="22"/>
  <c r="D51" i="22"/>
  <c r="D52" i="22"/>
  <c r="D53" i="22"/>
  <c r="D54" i="22"/>
  <c r="D55" i="22"/>
  <c r="D56" i="22"/>
  <c r="D57" i="22"/>
  <c r="D58" i="22"/>
  <c r="D59" i="22"/>
  <c r="D60" i="22"/>
  <c r="D61" i="22"/>
  <c r="D62" i="22"/>
  <c r="D63" i="22"/>
  <c r="D64" i="22"/>
  <c r="D65" i="22"/>
  <c r="D66" i="22"/>
  <c r="D67" i="22"/>
  <c r="D68" i="22"/>
  <c r="D69" i="22"/>
  <c r="D70" i="22"/>
  <c r="D71" i="22"/>
  <c r="D72" i="22"/>
  <c r="D73" i="22"/>
  <c r="D74" i="22"/>
  <c r="D75" i="22"/>
  <c r="D76" i="22"/>
  <c r="D77" i="22"/>
  <c r="D78" i="22"/>
  <c r="D79" i="22"/>
  <c r="D80" i="22"/>
  <c r="D81" i="22"/>
  <c r="D82" i="22"/>
  <c r="D83" i="22"/>
  <c r="D84" i="22"/>
  <c r="D85" i="22"/>
  <c r="D86" i="22"/>
  <c r="D87" i="22"/>
  <c r="D88" i="22"/>
  <c r="D89" i="22"/>
  <c r="D90" i="22"/>
  <c r="D91" i="22"/>
  <c r="D92" i="22"/>
  <c r="D93" i="22"/>
  <c r="D94" i="22"/>
  <c r="D95" i="22"/>
  <c r="D96" i="22"/>
  <c r="D97" i="22"/>
  <c r="D98" i="22"/>
  <c r="D99" i="22"/>
  <c r="D100" i="22"/>
  <c r="D101" i="22"/>
  <c r="D102" i="22"/>
  <c r="D103" i="22"/>
  <c r="D104" i="22"/>
  <c r="D105" i="22"/>
  <c r="D106" i="22"/>
  <c r="D107" i="22"/>
  <c r="D108" i="22"/>
  <c r="D109" i="22"/>
  <c r="D10" i="22"/>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10" i="13"/>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0" i="11"/>
  <c r="H59" i="25"/>
  <c r="H58" i="25"/>
  <c r="H57" i="25"/>
  <c r="H56" i="25"/>
  <c r="H55" i="25"/>
  <c r="H54" i="25"/>
  <c r="H52" i="25"/>
  <c r="H51" i="25"/>
  <c r="H50" i="25"/>
  <c r="H49" i="25"/>
  <c r="H48" i="25"/>
  <c r="H47" i="25"/>
  <c r="H44" i="25" l="1"/>
  <c r="H53" i="25" s="1"/>
  <c r="K5" i="25" l="1"/>
  <c r="I40" i="25" s="1"/>
  <c r="H5" i="25"/>
  <c r="F80" i="25"/>
  <c r="E80" i="25"/>
  <c r="F80" i="22"/>
  <c r="E80" i="22"/>
  <c r="K5" i="22"/>
  <c r="I40" i="22" s="1"/>
  <c r="H5" i="22"/>
  <c r="K5" i="21"/>
  <c r="I39" i="21" s="1"/>
  <c r="H5" i="21"/>
  <c r="I37" i="21" s="1"/>
  <c r="I37" i="25" l="1"/>
  <c r="I39" i="25"/>
  <c r="I36" i="25"/>
  <c r="I39" i="22"/>
  <c r="I36" i="22"/>
  <c r="I37" i="22"/>
  <c r="I40" i="21"/>
  <c r="I36" i="21"/>
  <c r="E6" i="6"/>
  <c r="E7" i="6" l="1"/>
  <c r="B11" i="13" s="1"/>
  <c r="B10" i="13"/>
  <c r="B10" i="25"/>
  <c r="B10" i="22"/>
  <c r="B10" i="21"/>
  <c r="D10" i="21" s="1"/>
  <c r="B11" i="22"/>
  <c r="B11" i="21" l="1"/>
  <c r="B11" i="25"/>
  <c r="E8" i="6"/>
  <c r="B12" i="13" s="1"/>
  <c r="E9" i="6"/>
  <c r="B13" i="13" s="1"/>
  <c r="B12" i="21"/>
  <c r="B11" i="7"/>
  <c r="B12" i="7"/>
  <c r="B13" i="7"/>
  <c r="B12" i="22" l="1"/>
  <c r="B12" i="25"/>
  <c r="B13" i="25"/>
  <c r="B13" i="22"/>
  <c r="B13" i="21"/>
  <c r="E10" i="6"/>
  <c r="B14" i="13" s="1"/>
  <c r="G6" i="6"/>
  <c r="G7" i="6" l="1"/>
  <c r="G8" i="6" s="1"/>
  <c r="C10" i="25"/>
  <c r="C10" i="21"/>
  <c r="C10" i="22"/>
  <c r="E11" i="6"/>
  <c r="B15" i="13" s="1"/>
  <c r="B14" i="25"/>
  <c r="B14" i="22"/>
  <c r="B14" i="21"/>
  <c r="B14" i="7"/>
  <c r="C11" i="7"/>
  <c r="E11" i="7" s="1"/>
  <c r="F11" i="7" s="1"/>
  <c r="B13" i="14"/>
  <c r="D13" i="14" s="1"/>
  <c r="E88" i="6"/>
  <c r="E89" i="6"/>
  <c r="E90" i="6"/>
  <c r="E91" i="6"/>
  <c r="E92" i="6"/>
  <c r="E93" i="6"/>
  <c r="E94" i="6"/>
  <c r="E95" i="6"/>
  <c r="E96" i="6"/>
  <c r="E97" i="6"/>
  <c r="E98" i="6"/>
  <c r="E99" i="6"/>
  <c r="E100" i="6"/>
  <c r="E101" i="6"/>
  <c r="E102" i="6"/>
  <c r="E103" i="6"/>
  <c r="E104" i="6"/>
  <c r="E105" i="6"/>
  <c r="B10" i="8"/>
  <c r="B10" i="14"/>
  <c r="D10" i="14" s="1"/>
  <c r="C10" i="13"/>
  <c r="K6" i="6"/>
  <c r="I6"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7" i="6"/>
  <c r="K5" i="14"/>
  <c r="I40" i="14" s="1"/>
  <c r="F81" i="13"/>
  <c r="F82" i="13"/>
  <c r="F80" i="13"/>
  <c r="H5" i="14"/>
  <c r="I36" i="14" s="1"/>
  <c r="K5" i="13"/>
  <c r="I40" i="13" s="1"/>
  <c r="H5" i="13"/>
  <c r="K5" i="11"/>
  <c r="I40" i="11" s="1"/>
  <c r="H5" i="11"/>
  <c r="I37" i="11" s="1"/>
  <c r="K5" i="8"/>
  <c r="H5" i="8"/>
  <c r="K5" i="7"/>
  <c r="I39" i="7" s="1"/>
  <c r="H5" i="7"/>
  <c r="I36" i="7" s="1"/>
  <c r="E80" i="11"/>
  <c r="F80" i="11"/>
  <c r="E10" i="22" l="1"/>
  <c r="F10" i="22" s="1"/>
  <c r="I37" i="8"/>
  <c r="I5" i="8"/>
  <c r="I39" i="8"/>
  <c r="L5" i="8"/>
  <c r="I37" i="13"/>
  <c r="B107" i="8"/>
  <c r="B107" i="25"/>
  <c r="B107" i="22"/>
  <c r="B107" i="21"/>
  <c r="B103" i="7"/>
  <c r="B103" i="8"/>
  <c r="B103" i="25"/>
  <c r="B103" i="22"/>
  <c r="B103" i="21"/>
  <c r="B99" i="7"/>
  <c r="E99" i="7" s="1"/>
  <c r="B99" i="8"/>
  <c r="B99" i="25"/>
  <c r="B99" i="22"/>
  <c r="B99" i="21"/>
  <c r="B95" i="8"/>
  <c r="B95" i="25"/>
  <c r="B95" i="22"/>
  <c r="B95" i="21"/>
  <c r="E10" i="25"/>
  <c r="F10" i="25" s="1"/>
  <c r="B106" i="8"/>
  <c r="B106" i="25"/>
  <c r="B106" i="22"/>
  <c r="B106" i="21"/>
  <c r="B102" i="7"/>
  <c r="B102" i="8"/>
  <c r="B102" i="25"/>
  <c r="B102" i="22"/>
  <c r="B102" i="21"/>
  <c r="B98" i="7"/>
  <c r="F98" i="7" s="1"/>
  <c r="B98" i="8"/>
  <c r="B98" i="25"/>
  <c r="B98" i="22"/>
  <c r="B98" i="21"/>
  <c r="B94" i="8"/>
  <c r="B94" i="25"/>
  <c r="B94" i="22"/>
  <c r="B94" i="21"/>
  <c r="C12" i="25"/>
  <c r="E12" i="25" s="1"/>
  <c r="F12" i="25" s="1"/>
  <c r="C12" i="21"/>
  <c r="E12" i="21" s="1"/>
  <c r="F12" i="21" s="1"/>
  <c r="C12" i="22"/>
  <c r="E12" i="22" s="1"/>
  <c r="F12" i="22" s="1"/>
  <c r="C11" i="25"/>
  <c r="E11" i="25" s="1"/>
  <c r="F11" i="25" s="1"/>
  <c r="C11" i="22"/>
  <c r="C11" i="21"/>
  <c r="E11" i="21" s="1"/>
  <c r="F11" i="21" s="1"/>
  <c r="B109" i="8"/>
  <c r="B109" i="25"/>
  <c r="B109" i="22"/>
  <c r="B109" i="21"/>
  <c r="B105" i="8"/>
  <c r="B105" i="25"/>
  <c r="B105" i="22"/>
  <c r="B105" i="21"/>
  <c r="B101" i="7"/>
  <c r="E101" i="7" s="1"/>
  <c r="B101" i="8"/>
  <c r="B101" i="25"/>
  <c r="B101" i="22"/>
  <c r="B101" i="21"/>
  <c r="B97" i="8"/>
  <c r="B97" i="25"/>
  <c r="B97" i="22"/>
  <c r="B97" i="21"/>
  <c r="B93" i="8"/>
  <c r="B93" i="25"/>
  <c r="B93" i="22"/>
  <c r="B93" i="21"/>
  <c r="E12" i="6"/>
  <c r="B16" i="13" s="1"/>
  <c r="B15" i="25"/>
  <c r="B15" i="22"/>
  <c r="B15" i="21"/>
  <c r="B15" i="7"/>
  <c r="B108" i="8"/>
  <c r="B108" i="25"/>
  <c r="B108" i="22"/>
  <c r="B108" i="21"/>
  <c r="B104" i="7"/>
  <c r="F104" i="7" s="1"/>
  <c r="B104" i="8"/>
  <c r="B104" i="25"/>
  <c r="B104" i="22"/>
  <c r="B104" i="21"/>
  <c r="B100" i="8"/>
  <c r="B100" i="25"/>
  <c r="B100" i="22"/>
  <c r="B100" i="21"/>
  <c r="B96" i="7"/>
  <c r="F96" i="7" s="1"/>
  <c r="B96" i="8"/>
  <c r="B96" i="25"/>
  <c r="B96" i="22"/>
  <c r="B96" i="21"/>
  <c r="B92" i="7"/>
  <c r="F92" i="7" s="1"/>
  <c r="B92" i="8"/>
  <c r="B92" i="25"/>
  <c r="B92" i="22"/>
  <c r="B92" i="21"/>
  <c r="E10" i="21"/>
  <c r="F10" i="21" s="1"/>
  <c r="G9" i="6"/>
  <c r="C12" i="7"/>
  <c r="E12" i="7" s="1"/>
  <c r="F12" i="7" s="1"/>
  <c r="B108" i="14"/>
  <c r="D108" i="14" s="1"/>
  <c r="B108" i="7"/>
  <c r="B100" i="14"/>
  <c r="D100" i="14" s="1"/>
  <c r="B100" i="7"/>
  <c r="B109" i="14"/>
  <c r="D109" i="14" s="1"/>
  <c r="B109" i="7"/>
  <c r="B97" i="11"/>
  <c r="B97" i="7"/>
  <c r="B105" i="14"/>
  <c r="D105" i="14" s="1"/>
  <c r="B105" i="7"/>
  <c r="B93" i="14"/>
  <c r="D93" i="14" s="1"/>
  <c r="B93" i="7"/>
  <c r="B107" i="11"/>
  <c r="F107" i="11" s="1"/>
  <c r="B107" i="7"/>
  <c r="B95" i="11"/>
  <c r="B95" i="7"/>
  <c r="B106" i="13"/>
  <c r="D106" i="13" s="1"/>
  <c r="B106" i="7"/>
  <c r="F102" i="7"/>
  <c r="E102" i="7"/>
  <c r="B94" i="13"/>
  <c r="D94" i="13" s="1"/>
  <c r="B94" i="7"/>
  <c r="B11" i="14"/>
  <c r="D11" i="14" s="1"/>
  <c r="B10" i="7"/>
  <c r="B12" i="8"/>
  <c r="B10" i="11"/>
  <c r="B12" i="14"/>
  <c r="D12" i="14" s="1"/>
  <c r="B11" i="8"/>
  <c r="E10" i="13"/>
  <c r="F10" i="13" s="1"/>
  <c r="B92" i="11"/>
  <c r="B96" i="14"/>
  <c r="D96" i="14" s="1"/>
  <c r="B102" i="13"/>
  <c r="D102" i="13" s="1"/>
  <c r="B92" i="14"/>
  <c r="D92" i="14" s="1"/>
  <c r="B102" i="14"/>
  <c r="D102" i="14" s="1"/>
  <c r="I39" i="13"/>
  <c r="B107" i="14"/>
  <c r="D107" i="14" s="1"/>
  <c r="B94" i="14"/>
  <c r="D94" i="14" s="1"/>
  <c r="B109" i="11"/>
  <c r="B12" i="11"/>
  <c r="B104" i="13"/>
  <c r="D104" i="13" s="1"/>
  <c r="B95" i="14"/>
  <c r="D95" i="14" s="1"/>
  <c r="B105" i="11"/>
  <c r="B99" i="14"/>
  <c r="D99" i="14" s="1"/>
  <c r="B97" i="14"/>
  <c r="D97" i="14" s="1"/>
  <c r="B96" i="11"/>
  <c r="B92" i="13"/>
  <c r="D92" i="13" s="1"/>
  <c r="B93" i="11"/>
  <c r="B104" i="11"/>
  <c r="B100" i="13"/>
  <c r="D100" i="13" s="1"/>
  <c r="B104" i="14"/>
  <c r="D104" i="14" s="1"/>
  <c r="B102" i="11"/>
  <c r="B96" i="13"/>
  <c r="D96" i="13" s="1"/>
  <c r="I36" i="13"/>
  <c r="I5" i="11"/>
  <c r="I36" i="11"/>
  <c r="L5" i="11"/>
  <c r="I39" i="11"/>
  <c r="I37" i="14"/>
  <c r="I5" i="14"/>
  <c r="I40" i="8"/>
  <c r="I36" i="8"/>
  <c r="L5" i="7"/>
  <c r="I40" i="7"/>
  <c r="I5" i="7"/>
  <c r="I37" i="7"/>
  <c r="C10" i="7"/>
  <c r="C10" i="11"/>
  <c r="C10" i="14"/>
  <c r="C10" i="8"/>
  <c r="E10" i="8" s="1"/>
  <c r="F10" i="8" s="1"/>
  <c r="B103" i="13"/>
  <c r="D103" i="13" s="1"/>
  <c r="B103" i="14"/>
  <c r="D103" i="14" s="1"/>
  <c r="B101" i="11"/>
  <c r="B101" i="14"/>
  <c r="D101" i="14" s="1"/>
  <c r="B108" i="11"/>
  <c r="B108" i="13"/>
  <c r="D108" i="13" s="1"/>
  <c r="B106" i="11"/>
  <c r="B106" i="14"/>
  <c r="D106" i="14" s="1"/>
  <c r="B103" i="11"/>
  <c r="B107" i="13"/>
  <c r="D107" i="13" s="1"/>
  <c r="B11" i="11"/>
  <c r="B98" i="14"/>
  <c r="D98" i="14" s="1"/>
  <c r="B100" i="11"/>
  <c r="B99" i="13"/>
  <c r="D99" i="13" s="1"/>
  <c r="B99" i="11"/>
  <c r="B94" i="11"/>
  <c r="B98" i="11"/>
  <c r="B95" i="13"/>
  <c r="D95" i="13" s="1"/>
  <c r="B98" i="13"/>
  <c r="D98" i="13" s="1"/>
  <c r="L5" i="14"/>
  <c r="I39" i="14"/>
  <c r="B109" i="13"/>
  <c r="D109" i="13" s="1"/>
  <c r="B105" i="13"/>
  <c r="D105" i="13" s="1"/>
  <c r="B101" i="13"/>
  <c r="D101" i="13" s="1"/>
  <c r="B97" i="13"/>
  <c r="D97" i="13" s="1"/>
  <c r="B93" i="13"/>
  <c r="D93" i="13" s="1"/>
  <c r="B13" i="11"/>
  <c r="B13" i="8"/>
  <c r="F101" i="7" l="1"/>
  <c r="F103" i="7"/>
  <c r="E98" i="7"/>
  <c r="E92" i="7"/>
  <c r="F99" i="7"/>
  <c r="E103" i="7"/>
  <c r="E96" i="7"/>
  <c r="F96" i="22"/>
  <c r="E96" i="22"/>
  <c r="F94" i="8"/>
  <c r="E94" i="8"/>
  <c r="E99" i="25"/>
  <c r="F99" i="25"/>
  <c r="E104" i="7"/>
  <c r="F92" i="8"/>
  <c r="E92" i="8"/>
  <c r="F96" i="25"/>
  <c r="E96" i="25"/>
  <c r="F100" i="22"/>
  <c r="E100" i="22"/>
  <c r="F104" i="22"/>
  <c r="E104" i="22"/>
  <c r="F93" i="25"/>
  <c r="E93" i="25"/>
  <c r="F97" i="25"/>
  <c r="E97" i="25"/>
  <c r="E101" i="25"/>
  <c r="F101" i="25"/>
  <c r="F105" i="22"/>
  <c r="E105" i="22"/>
  <c r="F109" i="22"/>
  <c r="E109" i="22"/>
  <c r="E11" i="22"/>
  <c r="F11" i="22" s="1"/>
  <c r="E102" i="8"/>
  <c r="F102" i="8"/>
  <c r="E106" i="25"/>
  <c r="F106" i="25"/>
  <c r="F95" i="8"/>
  <c r="E95" i="8"/>
  <c r="E99" i="8"/>
  <c r="F99" i="8"/>
  <c r="E103" i="25"/>
  <c r="F103" i="25"/>
  <c r="F107" i="22"/>
  <c r="E107" i="22"/>
  <c r="F92" i="25"/>
  <c r="E92" i="25"/>
  <c r="E108" i="8"/>
  <c r="F108" i="8"/>
  <c r="F97" i="22"/>
  <c r="E97" i="22"/>
  <c r="F102" i="25"/>
  <c r="E102" i="25"/>
  <c r="F106" i="22"/>
  <c r="E106" i="22"/>
  <c r="E95" i="25"/>
  <c r="F95" i="25"/>
  <c r="E103" i="22"/>
  <c r="F103" i="22"/>
  <c r="C13" i="25"/>
  <c r="E13" i="25" s="1"/>
  <c r="F13" i="25" s="1"/>
  <c r="C13" i="22"/>
  <c r="E13" i="22" s="1"/>
  <c r="F13" i="22" s="1"/>
  <c r="C13" i="21"/>
  <c r="E96" i="8"/>
  <c r="F96" i="8"/>
  <c r="F100" i="25"/>
  <c r="E100" i="25"/>
  <c r="E104" i="25"/>
  <c r="F104" i="25"/>
  <c r="F108" i="22"/>
  <c r="E108" i="22"/>
  <c r="E13" i="6"/>
  <c r="B16" i="25"/>
  <c r="B16" i="22"/>
  <c r="B16" i="21"/>
  <c r="B16" i="7"/>
  <c r="E93" i="8"/>
  <c r="F93" i="8"/>
  <c r="E97" i="8"/>
  <c r="F97" i="8"/>
  <c r="F101" i="8"/>
  <c r="E101" i="8"/>
  <c r="F105" i="25"/>
  <c r="E105" i="25"/>
  <c r="F109" i="25"/>
  <c r="E109" i="25"/>
  <c r="F94" i="22"/>
  <c r="E94" i="22"/>
  <c r="E98" i="22"/>
  <c r="F98" i="22"/>
  <c r="E106" i="8"/>
  <c r="F106" i="8"/>
  <c r="E103" i="8"/>
  <c r="F103" i="8"/>
  <c r="E107" i="25"/>
  <c r="F107" i="25"/>
  <c r="F93" i="22"/>
  <c r="E93" i="22"/>
  <c r="F101" i="22"/>
  <c r="E101" i="22"/>
  <c r="E98" i="8"/>
  <c r="F98" i="8"/>
  <c r="F92" i="22"/>
  <c r="E92" i="22"/>
  <c r="E100" i="8"/>
  <c r="F100" i="8"/>
  <c r="F104" i="8"/>
  <c r="E104" i="8"/>
  <c r="F108" i="25"/>
  <c r="E108" i="25"/>
  <c r="E105" i="8"/>
  <c r="F105" i="8"/>
  <c r="E109" i="8"/>
  <c r="F109" i="8"/>
  <c r="F94" i="25"/>
  <c r="E94" i="25"/>
  <c r="F98" i="25"/>
  <c r="E98" i="25"/>
  <c r="F102" i="22"/>
  <c r="E102" i="22"/>
  <c r="E95" i="22"/>
  <c r="F95" i="22"/>
  <c r="E99" i="22"/>
  <c r="F99" i="22"/>
  <c r="F107" i="8"/>
  <c r="E107" i="8"/>
  <c r="E97" i="11"/>
  <c r="F95" i="11"/>
  <c r="E95" i="11"/>
  <c r="F97" i="11"/>
  <c r="E107" i="11"/>
  <c r="G10" i="6"/>
  <c r="C13" i="7"/>
  <c r="E13" i="7" s="1"/>
  <c r="F13" i="7" s="1"/>
  <c r="F97" i="7"/>
  <c r="E97" i="7"/>
  <c r="F107" i="7"/>
  <c r="E107" i="7"/>
  <c r="F105" i="7"/>
  <c r="E105" i="7"/>
  <c r="F100" i="7"/>
  <c r="E100" i="7"/>
  <c r="F109" i="7"/>
  <c r="E109" i="7"/>
  <c r="F108" i="7"/>
  <c r="E108" i="7"/>
  <c r="F95" i="7"/>
  <c r="E95" i="7"/>
  <c r="F94" i="7"/>
  <c r="E94" i="7"/>
  <c r="F106" i="7"/>
  <c r="E106" i="7"/>
  <c r="F93" i="7"/>
  <c r="E93" i="7"/>
  <c r="E109" i="11"/>
  <c r="E10" i="14"/>
  <c r="F10" i="14" s="1"/>
  <c r="F109" i="11"/>
  <c r="E10" i="7"/>
  <c r="F10" i="7" s="1"/>
  <c r="E92" i="11"/>
  <c r="E10" i="11"/>
  <c r="F10" i="11" s="1"/>
  <c r="F96" i="11"/>
  <c r="F92" i="11"/>
  <c r="E96" i="11"/>
  <c r="E105" i="11"/>
  <c r="F105" i="11"/>
  <c r="F102" i="11"/>
  <c r="E102" i="11"/>
  <c r="F93" i="11"/>
  <c r="E93" i="11"/>
  <c r="F104" i="11"/>
  <c r="E104" i="11"/>
  <c r="F103" i="11"/>
  <c r="E103" i="11"/>
  <c r="C11" i="8"/>
  <c r="E11" i="8" s="1"/>
  <c r="F11" i="8" s="1"/>
  <c r="C11" i="11"/>
  <c r="C11" i="13"/>
  <c r="E11" i="13" s="1"/>
  <c r="F11" i="13" s="1"/>
  <c r="C11" i="14"/>
  <c r="E11" i="14" s="1"/>
  <c r="F11" i="14" s="1"/>
  <c r="F106" i="11"/>
  <c r="E106" i="11"/>
  <c r="F108" i="11"/>
  <c r="E108" i="11"/>
  <c r="F101" i="11"/>
  <c r="E101" i="11"/>
  <c r="E98" i="11"/>
  <c r="F98" i="11"/>
  <c r="E94" i="11"/>
  <c r="F94" i="11"/>
  <c r="F100" i="11"/>
  <c r="E100" i="11"/>
  <c r="F99" i="11"/>
  <c r="E99" i="11"/>
  <c r="B14" i="11"/>
  <c r="B14" i="14"/>
  <c r="D14" i="14" s="1"/>
  <c r="B14" i="8"/>
  <c r="B17" i="13" l="1"/>
  <c r="E14" i="6"/>
  <c r="C14" i="25"/>
  <c r="C14" i="21"/>
  <c r="E14" i="21" s="1"/>
  <c r="F14" i="21" s="1"/>
  <c r="C14" i="22"/>
  <c r="B17" i="25"/>
  <c r="B17" i="22"/>
  <c r="B17" i="21"/>
  <c r="B17" i="7"/>
  <c r="E13" i="21"/>
  <c r="F13" i="21" s="1"/>
  <c r="G11" i="6"/>
  <c r="C14" i="7"/>
  <c r="E14" i="7" s="1"/>
  <c r="F14" i="7" s="1"/>
  <c r="E11" i="11"/>
  <c r="F11" i="11" s="1"/>
  <c r="C12" i="14"/>
  <c r="E12" i="14" s="1"/>
  <c r="F12" i="14" s="1"/>
  <c r="C12" i="8"/>
  <c r="E12" i="8" s="1"/>
  <c r="F12" i="8" s="1"/>
  <c r="C12" i="11"/>
  <c r="E12" i="11" s="1"/>
  <c r="F12" i="11" s="1"/>
  <c r="C12" i="13"/>
  <c r="E12" i="13" s="1"/>
  <c r="F12" i="13" s="1"/>
  <c r="B15" i="11"/>
  <c r="B15" i="8"/>
  <c r="B15" i="14"/>
  <c r="D15" i="14" s="1"/>
  <c r="E14" i="22" l="1"/>
  <c r="F14" i="22" s="1"/>
  <c r="B18" i="25"/>
  <c r="B18" i="8"/>
  <c r="B18" i="22"/>
  <c r="B18" i="21"/>
  <c r="E15" i="6"/>
  <c r="E16" i="6" s="1"/>
  <c r="B18" i="7"/>
  <c r="C15" i="25"/>
  <c r="E15" i="25" s="1"/>
  <c r="F15" i="25" s="1"/>
  <c r="C15" i="22"/>
  <c r="C15" i="21"/>
  <c r="E14" i="25"/>
  <c r="F14" i="25" s="1"/>
  <c r="E86" i="6"/>
  <c r="G12" i="6"/>
  <c r="C15" i="7"/>
  <c r="E15" i="7" s="1"/>
  <c r="F15" i="7" s="1"/>
  <c r="C13" i="14"/>
  <c r="E13" i="14" s="1"/>
  <c r="F13" i="14" s="1"/>
  <c r="C13" i="8"/>
  <c r="E13" i="8" s="1"/>
  <c r="F13" i="8" s="1"/>
  <c r="C13" i="11"/>
  <c r="E13" i="11" s="1"/>
  <c r="F13" i="11" s="1"/>
  <c r="C13" i="13"/>
  <c r="E13" i="13" s="1"/>
  <c r="F13" i="13" s="1"/>
  <c r="B16" i="11"/>
  <c r="B16" i="8"/>
  <c r="B16" i="14"/>
  <c r="D16" i="14" s="1"/>
  <c r="E17" i="6" l="1"/>
  <c r="B20" i="8"/>
  <c r="B20" i="7"/>
  <c r="B20" i="25"/>
  <c r="B20" i="21"/>
  <c r="B20" i="22"/>
  <c r="B19" i="25"/>
  <c r="B19" i="7"/>
  <c r="B19" i="21"/>
  <c r="B19" i="8"/>
  <c r="B19" i="22"/>
  <c r="E15" i="22"/>
  <c r="F15" i="22" s="1"/>
  <c r="B90" i="8"/>
  <c r="B90" i="25"/>
  <c r="B90" i="22"/>
  <c r="B90" i="21"/>
  <c r="C16" i="25"/>
  <c r="C16" i="21"/>
  <c r="E16" i="21" s="1"/>
  <c r="F16" i="21" s="1"/>
  <c r="C16" i="22"/>
  <c r="E16" i="22" s="1"/>
  <c r="F16" i="22" s="1"/>
  <c r="E15" i="21"/>
  <c r="F15" i="21" s="1"/>
  <c r="E87" i="6"/>
  <c r="B90" i="11"/>
  <c r="B90" i="7"/>
  <c r="B90" i="13"/>
  <c r="D90" i="13" s="1"/>
  <c r="B90" i="14"/>
  <c r="D90" i="14" s="1"/>
  <c r="G13" i="6"/>
  <c r="C16" i="7"/>
  <c r="E16" i="7" s="1"/>
  <c r="F16" i="7" s="1"/>
  <c r="C14" i="11"/>
  <c r="E14" i="11" s="1"/>
  <c r="F14" i="11" s="1"/>
  <c r="C14" i="14"/>
  <c r="E14" i="14" s="1"/>
  <c r="F14" i="14" s="1"/>
  <c r="C14" i="13"/>
  <c r="E14" i="13" s="1"/>
  <c r="F14" i="13" s="1"/>
  <c r="C14" i="8"/>
  <c r="E14" i="8" s="1"/>
  <c r="F14" i="8" s="1"/>
  <c r="B17" i="11"/>
  <c r="B17" i="8"/>
  <c r="B17" i="14"/>
  <c r="D17" i="14" s="1"/>
  <c r="B21" i="25" l="1"/>
  <c r="B21" i="21"/>
  <c r="E18" i="6"/>
  <c r="B21" i="22"/>
  <c r="B21" i="8"/>
  <c r="B21" i="7"/>
  <c r="C17" i="25"/>
  <c r="E17" i="25" s="1"/>
  <c r="F17" i="25" s="1"/>
  <c r="C17" i="22"/>
  <c r="E17" i="22" s="1"/>
  <c r="F17" i="22" s="1"/>
  <c r="C17" i="21"/>
  <c r="E90" i="22"/>
  <c r="F90" i="22"/>
  <c r="B91" i="8"/>
  <c r="B91" i="25"/>
  <c r="B91" i="22"/>
  <c r="B91" i="21"/>
  <c r="E16" i="25"/>
  <c r="F16" i="25" s="1"/>
  <c r="E90" i="25"/>
  <c r="F90" i="25"/>
  <c r="E90" i="8"/>
  <c r="F90" i="8"/>
  <c r="B91" i="11"/>
  <c r="B91" i="7"/>
  <c r="B91" i="13"/>
  <c r="D91" i="13" s="1"/>
  <c r="B91" i="14"/>
  <c r="D91" i="14" s="1"/>
  <c r="G14" i="6"/>
  <c r="C17" i="7"/>
  <c r="E17" i="7" s="1"/>
  <c r="F17" i="7" s="1"/>
  <c r="C15" i="8"/>
  <c r="E15" i="8" s="1"/>
  <c r="F15" i="8" s="1"/>
  <c r="C15" i="13"/>
  <c r="E15" i="13" s="1"/>
  <c r="F15" i="13" s="1"/>
  <c r="C15" i="14"/>
  <c r="C15" i="11"/>
  <c r="E15" i="11" s="1"/>
  <c r="F15" i="11" s="1"/>
  <c r="B18" i="13"/>
  <c r="B18" i="11"/>
  <c r="B18" i="14"/>
  <c r="D18" i="14" s="1"/>
  <c r="B22" i="22" l="1"/>
  <c r="E19" i="6"/>
  <c r="B22" i="21"/>
  <c r="B22" i="8"/>
  <c r="B22" i="7"/>
  <c r="B22" i="25"/>
  <c r="E91" i="22"/>
  <c r="F91" i="22"/>
  <c r="E17" i="21"/>
  <c r="F17" i="21" s="1"/>
  <c r="C18" i="8"/>
  <c r="E18" i="8" s="1"/>
  <c r="F18" i="8" s="1"/>
  <c r="C18" i="25"/>
  <c r="E18" i="25" s="1"/>
  <c r="F18" i="25" s="1"/>
  <c r="C18" i="21"/>
  <c r="E18" i="21" s="1"/>
  <c r="F18" i="21" s="1"/>
  <c r="C18" i="22"/>
  <c r="E18" i="22" s="1"/>
  <c r="F18" i="22" s="1"/>
  <c r="E91" i="25"/>
  <c r="F91" i="25"/>
  <c r="F91" i="8"/>
  <c r="E91" i="8"/>
  <c r="G15" i="6"/>
  <c r="C18" i="7"/>
  <c r="E18" i="7" s="1"/>
  <c r="F18" i="7" s="1"/>
  <c r="E15" i="14"/>
  <c r="F15" i="14" s="1"/>
  <c r="C16" i="8"/>
  <c r="E16" i="8" s="1"/>
  <c r="F16" i="8" s="1"/>
  <c r="C16" i="13"/>
  <c r="C16" i="11"/>
  <c r="E16" i="11" s="1"/>
  <c r="F16" i="11" s="1"/>
  <c r="C16" i="14"/>
  <c r="E16" i="14" s="1"/>
  <c r="F16" i="14" s="1"/>
  <c r="B20" i="14"/>
  <c r="D20" i="14" s="1"/>
  <c r="B20" i="11"/>
  <c r="B20" i="13"/>
  <c r="B19" i="13"/>
  <c r="B19" i="11"/>
  <c r="B19" i="14"/>
  <c r="D19" i="14" s="1"/>
  <c r="B23" i="22" l="1"/>
  <c r="E20" i="6"/>
  <c r="B23" i="21"/>
  <c r="B23" i="8"/>
  <c r="B23" i="7"/>
  <c r="B23" i="25"/>
  <c r="C19" i="8"/>
  <c r="E19" i="8" s="1"/>
  <c r="F19" i="8" s="1"/>
  <c r="C19" i="25"/>
  <c r="E19" i="25" s="1"/>
  <c r="F19" i="25" s="1"/>
  <c r="C19" i="22"/>
  <c r="E19" i="22" s="1"/>
  <c r="F19" i="22" s="1"/>
  <c r="C19" i="21"/>
  <c r="E19" i="21" s="1"/>
  <c r="F19" i="21" s="1"/>
  <c r="G16" i="6"/>
  <c r="C19" i="7"/>
  <c r="E19" i="7" s="1"/>
  <c r="F19" i="7" s="1"/>
  <c r="C17" i="8"/>
  <c r="E17" i="8" s="1"/>
  <c r="F17" i="8" s="1"/>
  <c r="C17" i="14"/>
  <c r="C17" i="11"/>
  <c r="E17" i="11" s="1"/>
  <c r="F17" i="11" s="1"/>
  <c r="C17" i="13"/>
  <c r="E17" i="13" s="1"/>
  <c r="F17" i="13" s="1"/>
  <c r="E16" i="13"/>
  <c r="F16" i="13" s="1"/>
  <c r="B21" i="14"/>
  <c r="D21" i="14" s="1"/>
  <c r="B21" i="11"/>
  <c r="B21" i="13"/>
  <c r="B24" i="25" l="1"/>
  <c r="B24" i="22"/>
  <c r="E21" i="6"/>
  <c r="B24" i="21"/>
  <c r="B24" i="8"/>
  <c r="B24" i="7"/>
  <c r="C20" i="8"/>
  <c r="E20" i="8" s="1"/>
  <c r="F20" i="8" s="1"/>
  <c r="C20" i="25"/>
  <c r="E20" i="25" s="1"/>
  <c r="F20" i="25" s="1"/>
  <c r="C20" i="22"/>
  <c r="E20" i="22" s="1"/>
  <c r="F20" i="22" s="1"/>
  <c r="C20" i="21"/>
  <c r="E20" i="21" s="1"/>
  <c r="F20" i="21" s="1"/>
  <c r="G17" i="6"/>
  <c r="C20" i="7"/>
  <c r="E20" i="7" s="1"/>
  <c r="F20" i="7" s="1"/>
  <c r="C18" i="14"/>
  <c r="E18" i="14" s="1"/>
  <c r="F18" i="14" s="1"/>
  <c r="C18" i="11"/>
  <c r="E18" i="11" s="1"/>
  <c r="F18" i="11" s="1"/>
  <c r="C18" i="13"/>
  <c r="E18" i="13" s="1"/>
  <c r="F18" i="13" s="1"/>
  <c r="E17" i="14"/>
  <c r="F17" i="14" s="1"/>
  <c r="B22" i="13"/>
  <c r="B22" i="11"/>
  <c r="B22" i="14"/>
  <c r="D22" i="14" s="1"/>
  <c r="B25" i="8" l="1"/>
  <c r="B25" i="7"/>
  <c r="B25" i="25"/>
  <c r="B25" i="22"/>
  <c r="E22" i="6"/>
  <c r="B25" i="21"/>
  <c r="C21" i="8"/>
  <c r="E21" i="8" s="1"/>
  <c r="F21" i="8" s="1"/>
  <c r="C21" i="25"/>
  <c r="E21" i="25" s="1"/>
  <c r="F21" i="25" s="1"/>
  <c r="C21" i="21"/>
  <c r="E21" i="21" s="1"/>
  <c r="F21" i="21" s="1"/>
  <c r="C21" i="22"/>
  <c r="E21" i="22" s="1"/>
  <c r="F21" i="22" s="1"/>
  <c r="G18" i="6"/>
  <c r="C21" i="7"/>
  <c r="E21" i="7" s="1"/>
  <c r="F21" i="7" s="1"/>
  <c r="C19" i="13"/>
  <c r="C19" i="14"/>
  <c r="E19" i="14" s="1"/>
  <c r="F19" i="14" s="1"/>
  <c r="C19" i="11"/>
  <c r="B23" i="14"/>
  <c r="D23" i="14" s="1"/>
  <c r="B23" i="13"/>
  <c r="B23" i="11"/>
  <c r="E23" i="6" l="1"/>
  <c r="B26" i="21"/>
  <c r="B26" i="8"/>
  <c r="B26" i="7"/>
  <c r="B26" i="25"/>
  <c r="B26" i="22"/>
  <c r="C22" i="8"/>
  <c r="E22" i="8" s="1"/>
  <c r="F22" i="8" s="1"/>
  <c r="C22" i="25"/>
  <c r="E22" i="25" s="1"/>
  <c r="F22" i="25" s="1"/>
  <c r="C22" i="21"/>
  <c r="E22" i="21" s="1"/>
  <c r="F22" i="21" s="1"/>
  <c r="C22" i="22"/>
  <c r="E22" i="22" s="1"/>
  <c r="F22" i="22" s="1"/>
  <c r="G19" i="6"/>
  <c r="C22" i="7"/>
  <c r="E22" i="7" s="1"/>
  <c r="F22" i="7" s="1"/>
  <c r="E19" i="13"/>
  <c r="F19" i="13" s="1"/>
  <c r="C20" i="14"/>
  <c r="C20" i="11"/>
  <c r="E20" i="11" s="1"/>
  <c r="F20" i="11" s="1"/>
  <c r="C20" i="13"/>
  <c r="E20" i="13" s="1"/>
  <c r="F20" i="13" s="1"/>
  <c r="E19" i="11"/>
  <c r="F19" i="11" s="1"/>
  <c r="B24" i="13"/>
  <c r="B24" i="11"/>
  <c r="B24" i="14"/>
  <c r="D24" i="14" s="1"/>
  <c r="B27" i="25" l="1"/>
  <c r="E24" i="6"/>
  <c r="B27" i="22"/>
  <c r="B27" i="8"/>
  <c r="B27" i="7"/>
  <c r="B27" i="21"/>
  <c r="C23" i="8"/>
  <c r="E23" i="8" s="1"/>
  <c r="F23" i="8" s="1"/>
  <c r="C23" i="25"/>
  <c r="E23" i="25" s="1"/>
  <c r="F23" i="25" s="1"/>
  <c r="C23" i="22"/>
  <c r="E23" i="22" s="1"/>
  <c r="F23" i="22" s="1"/>
  <c r="C23" i="21"/>
  <c r="E23" i="21" s="1"/>
  <c r="F23" i="21" s="1"/>
  <c r="G20" i="6"/>
  <c r="C23" i="7"/>
  <c r="E23" i="7" s="1"/>
  <c r="F23" i="7" s="1"/>
  <c r="E20" i="14"/>
  <c r="F20" i="14" s="1"/>
  <c r="C21" i="14"/>
  <c r="E21" i="14" s="1"/>
  <c r="F21" i="14" s="1"/>
  <c r="C21" i="11"/>
  <c r="C21" i="13"/>
  <c r="E21" i="13" s="1"/>
  <c r="F21" i="13" s="1"/>
  <c r="B25" i="11"/>
  <c r="B25" i="14"/>
  <c r="D25" i="14" s="1"/>
  <c r="B25" i="13"/>
  <c r="E25" i="6" l="1"/>
  <c r="B28" i="22"/>
  <c r="B28" i="25"/>
  <c r="B28" i="8"/>
  <c r="B28" i="7"/>
  <c r="B28" i="21"/>
  <c r="C24" i="8"/>
  <c r="E24" i="8" s="1"/>
  <c r="F24" i="8" s="1"/>
  <c r="C24" i="25"/>
  <c r="E24" i="25" s="1"/>
  <c r="F24" i="25" s="1"/>
  <c r="C24" i="22"/>
  <c r="E24" i="22" s="1"/>
  <c r="F24" i="22" s="1"/>
  <c r="C24" i="21"/>
  <c r="E24" i="21" s="1"/>
  <c r="F24" i="21" s="1"/>
  <c r="G21" i="6"/>
  <c r="C24" i="7"/>
  <c r="E24" i="7" s="1"/>
  <c r="F24" i="7" s="1"/>
  <c r="C22" i="11"/>
  <c r="E22" i="11" s="1"/>
  <c r="F22" i="11" s="1"/>
  <c r="C22" i="14"/>
  <c r="E22" i="14" s="1"/>
  <c r="F22" i="14" s="1"/>
  <c r="C22" i="13"/>
  <c r="E22" i="13" s="1"/>
  <c r="F22" i="13" s="1"/>
  <c r="E21" i="11"/>
  <c r="F21" i="11" s="1"/>
  <c r="B26" i="13"/>
  <c r="B26" i="14"/>
  <c r="D26" i="14" s="1"/>
  <c r="B26" i="11"/>
  <c r="E26" i="6" l="1"/>
  <c r="B29" i="21"/>
  <c r="B29" i="8"/>
  <c r="B29" i="7"/>
  <c r="B29" i="25"/>
  <c r="B29" i="22"/>
  <c r="C25" i="8"/>
  <c r="E25" i="8" s="1"/>
  <c r="F25" i="8" s="1"/>
  <c r="C25" i="25"/>
  <c r="E25" i="25" s="1"/>
  <c r="F25" i="25" s="1"/>
  <c r="C25" i="22"/>
  <c r="E25" i="22" s="1"/>
  <c r="F25" i="22" s="1"/>
  <c r="C25" i="21"/>
  <c r="E25" i="21" s="1"/>
  <c r="F25" i="21" s="1"/>
  <c r="G22" i="6"/>
  <c r="C25" i="7"/>
  <c r="E25" i="7" s="1"/>
  <c r="F25" i="7" s="1"/>
  <c r="C23" i="14"/>
  <c r="E23" i="14" s="1"/>
  <c r="F23" i="14" s="1"/>
  <c r="C23" i="13"/>
  <c r="E23" i="13" s="1"/>
  <c r="F23" i="13" s="1"/>
  <c r="C23" i="11"/>
  <c r="B27" i="13"/>
  <c r="B27" i="11"/>
  <c r="B27" i="14"/>
  <c r="D27" i="14" s="1"/>
  <c r="B30" i="25" l="1"/>
  <c r="B30" i="22"/>
  <c r="E27" i="6"/>
  <c r="B30" i="21"/>
  <c r="B30" i="8"/>
  <c r="B30" i="7"/>
  <c r="C26" i="8"/>
  <c r="E26" i="8" s="1"/>
  <c r="F26" i="8" s="1"/>
  <c r="C26" i="25"/>
  <c r="E26" i="25" s="1"/>
  <c r="F26" i="25" s="1"/>
  <c r="C26" i="21"/>
  <c r="E26" i="21" s="1"/>
  <c r="F26" i="21" s="1"/>
  <c r="C26" i="22"/>
  <c r="E26" i="22" s="1"/>
  <c r="F26" i="22" s="1"/>
  <c r="G23" i="6"/>
  <c r="C26" i="7"/>
  <c r="E26" i="7" s="1"/>
  <c r="F26" i="7" s="1"/>
  <c r="C24" i="14"/>
  <c r="E24" i="14" s="1"/>
  <c r="F24" i="14" s="1"/>
  <c r="C24" i="13"/>
  <c r="E24" i="13" s="1"/>
  <c r="F24" i="13" s="1"/>
  <c r="C24" i="11"/>
  <c r="E24" i="11" s="1"/>
  <c r="F24" i="11" s="1"/>
  <c r="E23" i="11"/>
  <c r="F23" i="11" s="1"/>
  <c r="B28" i="14"/>
  <c r="D28" i="14" s="1"/>
  <c r="B28" i="11"/>
  <c r="B28" i="13"/>
  <c r="B31" i="22" l="1"/>
  <c r="B31" i="8"/>
  <c r="E28" i="6"/>
  <c r="B31" i="21"/>
  <c r="B31" i="7"/>
  <c r="B31" i="25"/>
  <c r="C27" i="8"/>
  <c r="E27" i="8" s="1"/>
  <c r="F27" i="8" s="1"/>
  <c r="C27" i="25"/>
  <c r="E27" i="25" s="1"/>
  <c r="F27" i="25" s="1"/>
  <c r="C27" i="22"/>
  <c r="E27" i="22" s="1"/>
  <c r="F27" i="22" s="1"/>
  <c r="C27" i="21"/>
  <c r="E27" i="21" s="1"/>
  <c r="F27" i="21" s="1"/>
  <c r="G24" i="6"/>
  <c r="C27" i="7"/>
  <c r="E27" i="7" s="1"/>
  <c r="F27" i="7" s="1"/>
  <c r="C25" i="11"/>
  <c r="C25" i="14"/>
  <c r="E25" i="14" s="1"/>
  <c r="F25" i="14" s="1"/>
  <c r="C25" i="13"/>
  <c r="E25" i="13" s="1"/>
  <c r="F25" i="13" s="1"/>
  <c r="B29" i="14"/>
  <c r="D29" i="14" s="1"/>
  <c r="B29" i="13"/>
  <c r="B29" i="11"/>
  <c r="B32" i="8" l="1"/>
  <c r="B32" i="7"/>
  <c r="B32" i="21"/>
  <c r="B32" i="25"/>
  <c r="B32" i="22"/>
  <c r="E29" i="6"/>
  <c r="C28" i="8"/>
  <c r="E28" i="8" s="1"/>
  <c r="F28" i="8" s="1"/>
  <c r="C28" i="25"/>
  <c r="E28" i="25" s="1"/>
  <c r="F28" i="25" s="1"/>
  <c r="C28" i="21"/>
  <c r="E28" i="21" s="1"/>
  <c r="F28" i="21" s="1"/>
  <c r="C28" i="22"/>
  <c r="E28" i="22" s="1"/>
  <c r="F28" i="22" s="1"/>
  <c r="G25" i="6"/>
  <c r="C28" i="7"/>
  <c r="E28" i="7" s="1"/>
  <c r="F28" i="7" s="1"/>
  <c r="E25" i="11"/>
  <c r="F25" i="11" s="1"/>
  <c r="C26" i="14"/>
  <c r="E26" i="14" s="1"/>
  <c r="F26" i="14" s="1"/>
  <c r="C26" i="11"/>
  <c r="E26" i="11" s="1"/>
  <c r="F26" i="11" s="1"/>
  <c r="C26" i="13"/>
  <c r="E26" i="13" s="1"/>
  <c r="F26" i="13" s="1"/>
  <c r="B30" i="14"/>
  <c r="D30" i="14" s="1"/>
  <c r="B30" i="13"/>
  <c r="B30" i="11"/>
  <c r="B33" i="25" l="1"/>
  <c r="B33" i="21"/>
  <c r="B33" i="22"/>
  <c r="B33" i="8"/>
  <c r="E30" i="6"/>
  <c r="B33" i="7"/>
  <c r="C29" i="8"/>
  <c r="E29" i="8" s="1"/>
  <c r="F29" i="8" s="1"/>
  <c r="C29" i="25"/>
  <c r="E29" i="25" s="1"/>
  <c r="F29" i="25" s="1"/>
  <c r="C29" i="22"/>
  <c r="E29" i="22" s="1"/>
  <c r="F29" i="22" s="1"/>
  <c r="C29" i="21"/>
  <c r="E29" i="21" s="1"/>
  <c r="F29" i="21" s="1"/>
  <c r="G26" i="6"/>
  <c r="C29" i="7"/>
  <c r="E29" i="7" s="1"/>
  <c r="F29" i="7" s="1"/>
  <c r="C27" i="13"/>
  <c r="E27" i="13" s="1"/>
  <c r="F27" i="13" s="1"/>
  <c r="C27" i="11"/>
  <c r="E27" i="11" s="1"/>
  <c r="F27" i="11" s="1"/>
  <c r="C27" i="14"/>
  <c r="E27" i="14" s="1"/>
  <c r="F27" i="14" s="1"/>
  <c r="B31" i="11"/>
  <c r="B31" i="13"/>
  <c r="B31" i="14"/>
  <c r="D31" i="14" s="1"/>
  <c r="E31" i="6" l="1"/>
  <c r="B34" i="21"/>
  <c r="B34" i="25"/>
  <c r="B34" i="22"/>
  <c r="B34" i="8"/>
  <c r="B34" i="7"/>
  <c r="C30" i="8"/>
  <c r="E30" i="8" s="1"/>
  <c r="F30" i="8" s="1"/>
  <c r="C30" i="25"/>
  <c r="E30" i="25" s="1"/>
  <c r="F30" i="25" s="1"/>
  <c r="C30" i="22"/>
  <c r="E30" i="22" s="1"/>
  <c r="F30" i="22" s="1"/>
  <c r="C30" i="21"/>
  <c r="E30" i="21" s="1"/>
  <c r="F30" i="21" s="1"/>
  <c r="G27" i="6"/>
  <c r="C30" i="7"/>
  <c r="E30" i="7" s="1"/>
  <c r="F30" i="7" s="1"/>
  <c r="C28" i="13"/>
  <c r="E28" i="13" s="1"/>
  <c r="F28" i="13" s="1"/>
  <c r="C28" i="11"/>
  <c r="C28" i="14"/>
  <c r="E28" i="14" s="1"/>
  <c r="F28" i="14" s="1"/>
  <c r="B32" i="14"/>
  <c r="D32" i="14" s="1"/>
  <c r="B32" i="11"/>
  <c r="B32" i="13"/>
  <c r="B35" i="25" l="1"/>
  <c r="B35" i="7"/>
  <c r="B35" i="21"/>
  <c r="E32" i="6"/>
  <c r="B35" i="22"/>
  <c r="B35" i="8"/>
  <c r="C31" i="8"/>
  <c r="E31" i="8" s="1"/>
  <c r="F31" i="8" s="1"/>
  <c r="C31" i="25"/>
  <c r="E31" i="25" s="1"/>
  <c r="F31" i="25" s="1"/>
  <c r="C31" i="21"/>
  <c r="E31" i="21" s="1"/>
  <c r="F31" i="21" s="1"/>
  <c r="C31" i="22"/>
  <c r="E31" i="22" s="1"/>
  <c r="F31" i="22" s="1"/>
  <c r="G28" i="6"/>
  <c r="C31" i="7"/>
  <c r="E31" i="7" s="1"/>
  <c r="F31" i="7" s="1"/>
  <c r="E28" i="11"/>
  <c r="F28" i="11" s="1"/>
  <c r="C29" i="14"/>
  <c r="E29" i="14" s="1"/>
  <c r="F29" i="14" s="1"/>
  <c r="C29" i="11"/>
  <c r="E29" i="11" s="1"/>
  <c r="F29" i="11" s="1"/>
  <c r="C29" i="13"/>
  <c r="E29" i="13" s="1"/>
  <c r="F29" i="13" s="1"/>
  <c r="B33" i="13"/>
  <c r="B33" i="11"/>
  <c r="B33" i="14"/>
  <c r="D33" i="14" s="1"/>
  <c r="B36" i="22" l="1"/>
  <c r="B36" i="21"/>
  <c r="B36" i="7"/>
  <c r="E33" i="6"/>
  <c r="B36" i="8"/>
  <c r="B36" i="25"/>
  <c r="C32" i="8"/>
  <c r="E32" i="8" s="1"/>
  <c r="F32" i="8" s="1"/>
  <c r="C32" i="25"/>
  <c r="E32" i="25" s="1"/>
  <c r="F32" i="25" s="1"/>
  <c r="C32" i="22"/>
  <c r="E32" i="22" s="1"/>
  <c r="F32" i="22" s="1"/>
  <c r="C32" i="21"/>
  <c r="E32" i="21" s="1"/>
  <c r="F32" i="21" s="1"/>
  <c r="G29" i="6"/>
  <c r="C32" i="7"/>
  <c r="E32" i="7" s="1"/>
  <c r="F32" i="7" s="1"/>
  <c r="C30" i="13"/>
  <c r="E30" i="13" s="1"/>
  <c r="F30" i="13" s="1"/>
  <c r="C30" i="11"/>
  <c r="E30" i="11" s="1"/>
  <c r="F30" i="11" s="1"/>
  <c r="C30" i="14"/>
  <c r="E30" i="14" s="1"/>
  <c r="F30" i="14" s="1"/>
  <c r="B34" i="14"/>
  <c r="D34" i="14" s="1"/>
  <c r="B34" i="11"/>
  <c r="B34" i="13"/>
  <c r="B37" i="8" l="1"/>
  <c r="B37" i="7"/>
  <c r="E34" i="6"/>
  <c r="B37" i="25"/>
  <c r="B37" i="21"/>
  <c r="B37" i="22"/>
  <c r="C33" i="8"/>
  <c r="E33" i="8" s="1"/>
  <c r="F33" i="8" s="1"/>
  <c r="C33" i="25"/>
  <c r="E33" i="25" s="1"/>
  <c r="F33" i="25" s="1"/>
  <c r="C33" i="21"/>
  <c r="E33" i="21" s="1"/>
  <c r="F33" i="21" s="1"/>
  <c r="C33" i="22"/>
  <c r="E33" i="22" s="1"/>
  <c r="F33" i="22" s="1"/>
  <c r="G30" i="6"/>
  <c r="C33" i="7"/>
  <c r="E33" i="7" s="1"/>
  <c r="F33" i="7" s="1"/>
  <c r="C31" i="14"/>
  <c r="E31" i="14" s="1"/>
  <c r="F31" i="14" s="1"/>
  <c r="C31" i="13"/>
  <c r="E31" i="13" s="1"/>
  <c r="F31" i="13" s="1"/>
  <c r="C31" i="11"/>
  <c r="E31" i="11" s="1"/>
  <c r="F31" i="11" s="1"/>
  <c r="B35" i="14"/>
  <c r="D35" i="14" s="1"/>
  <c r="B35" i="11"/>
  <c r="B35" i="13"/>
  <c r="E35" i="6" l="1"/>
  <c r="B38" i="22"/>
  <c r="B38" i="25"/>
  <c r="B38" i="21"/>
  <c r="B38" i="8"/>
  <c r="B38" i="7"/>
  <c r="C34" i="8"/>
  <c r="E34" i="8" s="1"/>
  <c r="F34" i="8" s="1"/>
  <c r="C34" i="22"/>
  <c r="E34" i="22" s="1"/>
  <c r="F34" i="22" s="1"/>
  <c r="C34" i="25"/>
  <c r="E34" i="25" s="1"/>
  <c r="F34" i="25" s="1"/>
  <c r="C34" i="21"/>
  <c r="E34" i="21" s="1"/>
  <c r="F34" i="21" s="1"/>
  <c r="G31" i="6"/>
  <c r="C34" i="7"/>
  <c r="E34" i="7" s="1"/>
  <c r="F34" i="7" s="1"/>
  <c r="C32" i="14"/>
  <c r="E32" i="14" s="1"/>
  <c r="F32" i="14" s="1"/>
  <c r="C32" i="13"/>
  <c r="E32" i="13" s="1"/>
  <c r="F32" i="13" s="1"/>
  <c r="C32" i="11"/>
  <c r="E32" i="11" s="1"/>
  <c r="F32" i="11" s="1"/>
  <c r="B36" i="14"/>
  <c r="D36" i="14" s="1"/>
  <c r="B36" i="13"/>
  <c r="B36" i="11"/>
  <c r="E36" i="6" l="1"/>
  <c r="B39" i="21"/>
  <c r="B39" i="8"/>
  <c r="B39" i="7"/>
  <c r="B39" i="25"/>
  <c r="B39" i="22"/>
  <c r="C35" i="8"/>
  <c r="E35" i="8" s="1"/>
  <c r="F35" i="8" s="1"/>
  <c r="C35" i="25"/>
  <c r="E35" i="25" s="1"/>
  <c r="F35" i="25" s="1"/>
  <c r="C35" i="21"/>
  <c r="E35" i="21" s="1"/>
  <c r="F35" i="21" s="1"/>
  <c r="C35" i="22"/>
  <c r="E35" i="22" s="1"/>
  <c r="F35" i="22" s="1"/>
  <c r="G32" i="6"/>
  <c r="C35" i="7"/>
  <c r="E35" i="7" s="1"/>
  <c r="F35" i="7" s="1"/>
  <c r="C33" i="14"/>
  <c r="E33" i="14" s="1"/>
  <c r="F33" i="14" s="1"/>
  <c r="C33" i="11"/>
  <c r="E33" i="11" s="1"/>
  <c r="F33" i="11" s="1"/>
  <c r="C33" i="13"/>
  <c r="E33" i="13" s="1"/>
  <c r="F33" i="13" s="1"/>
  <c r="B37" i="14"/>
  <c r="D37" i="14" s="1"/>
  <c r="B37" i="13"/>
  <c r="B37" i="11"/>
  <c r="B40" i="21" l="1"/>
  <c r="E37" i="6"/>
  <c r="B40" i="22"/>
  <c r="B40" i="7"/>
  <c r="B40" i="25"/>
  <c r="B40" i="8"/>
  <c r="C36" i="8"/>
  <c r="E36" i="8" s="1"/>
  <c r="F36" i="8" s="1"/>
  <c r="C36" i="25"/>
  <c r="E36" i="25" s="1"/>
  <c r="F36" i="25" s="1"/>
  <c r="C36" i="21"/>
  <c r="E36" i="21" s="1"/>
  <c r="F36" i="21" s="1"/>
  <c r="C36" i="22"/>
  <c r="E36" i="22" s="1"/>
  <c r="F36" i="22" s="1"/>
  <c r="G33" i="6"/>
  <c r="C36" i="7"/>
  <c r="E36" i="7" s="1"/>
  <c r="F36" i="7" s="1"/>
  <c r="C34" i="11"/>
  <c r="E34" i="11" s="1"/>
  <c r="F34" i="11" s="1"/>
  <c r="C34" i="14"/>
  <c r="E34" i="14" s="1"/>
  <c r="F34" i="14" s="1"/>
  <c r="C34" i="13"/>
  <c r="E34" i="13" s="1"/>
  <c r="F34" i="13" s="1"/>
  <c r="B38" i="14"/>
  <c r="D38" i="14" s="1"/>
  <c r="B38" i="11"/>
  <c r="B38" i="13"/>
  <c r="B41" i="22" l="1"/>
  <c r="B41" i="8"/>
  <c r="B41" i="25"/>
  <c r="E38" i="6"/>
  <c r="B41" i="21"/>
  <c r="B41" i="7"/>
  <c r="C37" i="8"/>
  <c r="E37" i="8" s="1"/>
  <c r="F37" i="8" s="1"/>
  <c r="C37" i="25"/>
  <c r="E37" i="25" s="1"/>
  <c r="F37" i="25" s="1"/>
  <c r="C37" i="22"/>
  <c r="E37" i="22" s="1"/>
  <c r="F37" i="22" s="1"/>
  <c r="C37" i="21"/>
  <c r="E37" i="21" s="1"/>
  <c r="F37" i="21" s="1"/>
  <c r="G34" i="6"/>
  <c r="C37" i="7"/>
  <c r="E37" i="7" s="1"/>
  <c r="F37" i="7" s="1"/>
  <c r="C35" i="14"/>
  <c r="E35" i="14" s="1"/>
  <c r="F35" i="14" s="1"/>
  <c r="C35" i="11"/>
  <c r="E35" i="11" s="1"/>
  <c r="F35" i="11" s="1"/>
  <c r="C35" i="13"/>
  <c r="E35" i="13" s="1"/>
  <c r="F35" i="13" s="1"/>
  <c r="B39" i="11"/>
  <c r="B39" i="14"/>
  <c r="D39" i="14" s="1"/>
  <c r="B39" i="13"/>
  <c r="B42" i="25" l="1"/>
  <c r="E39" i="6"/>
  <c r="B42" i="21"/>
  <c r="B42" i="22"/>
  <c r="B42" i="8"/>
  <c r="B42" i="7"/>
  <c r="C38" i="8"/>
  <c r="E38" i="8" s="1"/>
  <c r="F38" i="8" s="1"/>
  <c r="C38" i="25"/>
  <c r="E38" i="25" s="1"/>
  <c r="F38" i="25" s="1"/>
  <c r="C38" i="22"/>
  <c r="E38" i="22" s="1"/>
  <c r="F38" i="22" s="1"/>
  <c r="C38" i="21"/>
  <c r="E38" i="21" s="1"/>
  <c r="F38" i="21" s="1"/>
  <c r="G35" i="6"/>
  <c r="C38" i="7"/>
  <c r="E38" i="7" s="1"/>
  <c r="F38" i="7" s="1"/>
  <c r="C36" i="11"/>
  <c r="E36" i="11" s="1"/>
  <c r="F36" i="11" s="1"/>
  <c r="C36" i="13"/>
  <c r="E36" i="13" s="1"/>
  <c r="F36" i="13" s="1"/>
  <c r="C36" i="14"/>
  <c r="E36" i="14" s="1"/>
  <c r="F36" i="14" s="1"/>
  <c r="B40" i="14"/>
  <c r="D40" i="14" s="1"/>
  <c r="B40" i="11"/>
  <c r="B40" i="13"/>
  <c r="B43" i="8" l="1"/>
  <c r="B43" i="7"/>
  <c r="B43" i="21"/>
  <c r="B43" i="25"/>
  <c r="B43" i="22"/>
  <c r="E40" i="6"/>
  <c r="C39" i="8"/>
  <c r="E39" i="8" s="1"/>
  <c r="F39" i="8" s="1"/>
  <c r="C39" i="25"/>
  <c r="E39" i="25" s="1"/>
  <c r="F39" i="25" s="1"/>
  <c r="C39" i="22"/>
  <c r="E39" i="22" s="1"/>
  <c r="F39" i="22" s="1"/>
  <c r="C39" i="21"/>
  <c r="E39" i="21" s="1"/>
  <c r="F39" i="21" s="1"/>
  <c r="G36" i="6"/>
  <c r="C39" i="7"/>
  <c r="E39" i="7" s="1"/>
  <c r="F39" i="7" s="1"/>
  <c r="C37" i="14"/>
  <c r="E37" i="14" s="1"/>
  <c r="F37" i="14" s="1"/>
  <c r="C37" i="11"/>
  <c r="E37" i="11" s="1"/>
  <c r="F37" i="11" s="1"/>
  <c r="C37" i="13"/>
  <c r="E37" i="13" s="1"/>
  <c r="F37" i="13" s="1"/>
  <c r="B41" i="11"/>
  <c r="B41" i="14"/>
  <c r="D41" i="14" s="1"/>
  <c r="B41" i="13"/>
  <c r="E41" i="6" l="1"/>
  <c r="B44" i="21"/>
  <c r="B44" i="8"/>
  <c r="B44" i="7"/>
  <c r="B44" i="22"/>
  <c r="B44" i="25"/>
  <c r="C40" i="8"/>
  <c r="E40" i="8" s="1"/>
  <c r="F40" i="8" s="1"/>
  <c r="C40" i="25"/>
  <c r="E40" i="25" s="1"/>
  <c r="F40" i="25" s="1"/>
  <c r="C40" i="22"/>
  <c r="E40" i="22" s="1"/>
  <c r="F40" i="22" s="1"/>
  <c r="C40" i="21"/>
  <c r="E40" i="21" s="1"/>
  <c r="F40" i="21" s="1"/>
  <c r="G37" i="6"/>
  <c r="C40" i="7"/>
  <c r="E40" i="7" s="1"/>
  <c r="F40" i="7" s="1"/>
  <c r="C38" i="11"/>
  <c r="E38" i="11" s="1"/>
  <c r="F38" i="11" s="1"/>
  <c r="C38" i="14"/>
  <c r="E38" i="14" s="1"/>
  <c r="F38" i="14" s="1"/>
  <c r="C38" i="13"/>
  <c r="E38" i="13" s="1"/>
  <c r="F38" i="13" s="1"/>
  <c r="B42" i="14"/>
  <c r="D42" i="14" s="1"/>
  <c r="B42" i="13"/>
  <c r="B42" i="11"/>
  <c r="B45" i="21" l="1"/>
  <c r="E42" i="6"/>
  <c r="B45" i="22"/>
  <c r="B45" i="8"/>
  <c r="B45" i="7"/>
  <c r="B45" i="25"/>
  <c r="C41" i="8"/>
  <c r="E41" i="8" s="1"/>
  <c r="F41" i="8" s="1"/>
  <c r="C41" i="25"/>
  <c r="E41" i="25" s="1"/>
  <c r="F41" i="25" s="1"/>
  <c r="C41" i="22"/>
  <c r="E41" i="22" s="1"/>
  <c r="F41" i="22" s="1"/>
  <c r="C41" i="21"/>
  <c r="E41" i="21" s="1"/>
  <c r="F41" i="21" s="1"/>
  <c r="G38" i="6"/>
  <c r="C41" i="7"/>
  <c r="E41" i="7" s="1"/>
  <c r="F41" i="7" s="1"/>
  <c r="C39" i="13"/>
  <c r="E39" i="13" s="1"/>
  <c r="F39" i="13" s="1"/>
  <c r="C39" i="14"/>
  <c r="E39" i="14" s="1"/>
  <c r="F39" i="14" s="1"/>
  <c r="C39" i="11"/>
  <c r="E39" i="11" s="1"/>
  <c r="F39" i="11" s="1"/>
  <c r="B43" i="11"/>
  <c r="B43" i="14"/>
  <c r="D43" i="14" s="1"/>
  <c r="B43" i="13"/>
  <c r="B46" i="22" l="1"/>
  <c r="E43" i="6"/>
  <c r="B46" i="21"/>
  <c r="B46" i="8"/>
  <c r="B46" i="7"/>
  <c r="B46" i="25"/>
  <c r="C42" i="8"/>
  <c r="E42" i="8" s="1"/>
  <c r="F42" i="8" s="1"/>
  <c r="C42" i="25"/>
  <c r="E42" i="25" s="1"/>
  <c r="F42" i="25" s="1"/>
  <c r="C42" i="22"/>
  <c r="E42" i="22" s="1"/>
  <c r="F42" i="22" s="1"/>
  <c r="C42" i="21"/>
  <c r="E42" i="21" s="1"/>
  <c r="F42" i="21" s="1"/>
  <c r="G39" i="6"/>
  <c r="C42" i="7"/>
  <c r="E42" i="7" s="1"/>
  <c r="F42" i="7" s="1"/>
  <c r="C40" i="11"/>
  <c r="E40" i="11" s="1"/>
  <c r="F40" i="11" s="1"/>
  <c r="C40" i="14"/>
  <c r="E40" i="14" s="1"/>
  <c r="F40" i="14" s="1"/>
  <c r="C40" i="13"/>
  <c r="E40" i="13" s="1"/>
  <c r="F40" i="13" s="1"/>
  <c r="B44" i="13"/>
  <c r="B44" i="11"/>
  <c r="B44" i="14"/>
  <c r="D44" i="14" s="1"/>
  <c r="B47" i="22" l="1"/>
  <c r="E44" i="6"/>
  <c r="B47" i="21"/>
  <c r="B47" i="25"/>
  <c r="B47" i="8"/>
  <c r="B47" i="7"/>
  <c r="C43" i="8"/>
  <c r="E43" i="8" s="1"/>
  <c r="F43" i="8" s="1"/>
  <c r="C43" i="25"/>
  <c r="E43" i="25" s="1"/>
  <c r="F43" i="25" s="1"/>
  <c r="C43" i="21"/>
  <c r="E43" i="21" s="1"/>
  <c r="F43" i="21" s="1"/>
  <c r="C43" i="22"/>
  <c r="E43" i="22" s="1"/>
  <c r="F43" i="22" s="1"/>
  <c r="G40" i="6"/>
  <c r="C43" i="7"/>
  <c r="E43" i="7" s="1"/>
  <c r="F43" i="7" s="1"/>
  <c r="C41" i="14"/>
  <c r="E41" i="14" s="1"/>
  <c r="F41" i="14" s="1"/>
  <c r="C41" i="11"/>
  <c r="E41" i="11" s="1"/>
  <c r="F41" i="11" s="1"/>
  <c r="C41" i="13"/>
  <c r="E41" i="13" s="1"/>
  <c r="F41" i="13" s="1"/>
  <c r="B45" i="11"/>
  <c r="B45" i="14"/>
  <c r="D45" i="14" s="1"/>
  <c r="B45" i="13"/>
  <c r="B48" i="25" l="1"/>
  <c r="B48" i="22"/>
  <c r="E45" i="6"/>
  <c r="B48" i="7"/>
  <c r="B48" i="8"/>
  <c r="B48" i="21"/>
  <c r="C44" i="8"/>
  <c r="E44" i="8" s="1"/>
  <c r="F44" i="8" s="1"/>
  <c r="C44" i="25"/>
  <c r="E44" i="25" s="1"/>
  <c r="F44" i="25" s="1"/>
  <c r="C44" i="22"/>
  <c r="E44" i="22" s="1"/>
  <c r="F44" i="22" s="1"/>
  <c r="C44" i="21"/>
  <c r="E44" i="21" s="1"/>
  <c r="F44" i="21" s="1"/>
  <c r="G41" i="6"/>
  <c r="C44" i="7"/>
  <c r="E44" i="7" s="1"/>
  <c r="F44" i="7" s="1"/>
  <c r="C42" i="11"/>
  <c r="E42" i="11" s="1"/>
  <c r="F42" i="11" s="1"/>
  <c r="C42" i="13"/>
  <c r="E42" i="13" s="1"/>
  <c r="F42" i="13" s="1"/>
  <c r="C42" i="14"/>
  <c r="E42" i="14" s="1"/>
  <c r="F42" i="14" s="1"/>
  <c r="B46" i="13"/>
  <c r="B46" i="11"/>
  <c r="B46" i="14"/>
  <c r="D46" i="14" s="1"/>
  <c r="B49" i="8" l="1"/>
  <c r="B49" i="7"/>
  <c r="E46" i="6"/>
  <c r="B49" i="25"/>
  <c r="B49" i="22"/>
  <c r="B49" i="21"/>
  <c r="C45" i="8"/>
  <c r="E45" i="8" s="1"/>
  <c r="F45" i="8" s="1"/>
  <c r="C45" i="25"/>
  <c r="E45" i="25" s="1"/>
  <c r="F45" i="25" s="1"/>
  <c r="C45" i="22"/>
  <c r="E45" i="22" s="1"/>
  <c r="F45" i="22" s="1"/>
  <c r="C45" i="21"/>
  <c r="E45" i="21" s="1"/>
  <c r="F45" i="21" s="1"/>
  <c r="G42" i="6"/>
  <c r="C45" i="7"/>
  <c r="E45" i="7" s="1"/>
  <c r="F45" i="7" s="1"/>
  <c r="C43" i="14"/>
  <c r="E43" i="14" s="1"/>
  <c r="F43" i="14" s="1"/>
  <c r="C43" i="11"/>
  <c r="E43" i="11" s="1"/>
  <c r="F43" i="11" s="1"/>
  <c r="C43" i="13"/>
  <c r="E43" i="13" s="1"/>
  <c r="F43" i="13" s="1"/>
  <c r="B47" i="11"/>
  <c r="B47" i="13"/>
  <c r="B47" i="14"/>
  <c r="D47" i="14" s="1"/>
  <c r="E47" i="6" l="1"/>
  <c r="B50" i="21"/>
  <c r="B50" i="8"/>
  <c r="B50" i="7"/>
  <c r="B50" i="22"/>
  <c r="B50" i="25"/>
  <c r="C46" i="8"/>
  <c r="E46" i="8" s="1"/>
  <c r="F46" i="8" s="1"/>
  <c r="C46" i="25"/>
  <c r="E46" i="25" s="1"/>
  <c r="F46" i="25" s="1"/>
  <c r="C46" i="22"/>
  <c r="E46" i="22" s="1"/>
  <c r="F46" i="22" s="1"/>
  <c r="C46" i="21"/>
  <c r="E46" i="21" s="1"/>
  <c r="F46" i="21" s="1"/>
  <c r="G43" i="6"/>
  <c r="C46" i="7"/>
  <c r="E46" i="7" s="1"/>
  <c r="F46" i="7" s="1"/>
  <c r="C44" i="14"/>
  <c r="E44" i="14" s="1"/>
  <c r="F44" i="14" s="1"/>
  <c r="C44" i="13"/>
  <c r="E44" i="13" s="1"/>
  <c r="F44" i="13" s="1"/>
  <c r="C44" i="11"/>
  <c r="E44" i="11" s="1"/>
  <c r="F44" i="11" s="1"/>
  <c r="B48" i="14"/>
  <c r="D48" i="14" s="1"/>
  <c r="B48" i="11"/>
  <c r="B48" i="13"/>
  <c r="B51" i="22" l="1"/>
  <c r="B51" i="25"/>
  <c r="E48" i="6"/>
  <c r="B51" i="21"/>
  <c r="B51" i="8"/>
  <c r="B51" i="7"/>
  <c r="C47" i="8"/>
  <c r="E47" i="8" s="1"/>
  <c r="F47" i="8" s="1"/>
  <c r="C47" i="25"/>
  <c r="E47" i="25" s="1"/>
  <c r="F47" i="25" s="1"/>
  <c r="C47" i="22"/>
  <c r="E47" i="22" s="1"/>
  <c r="F47" i="22" s="1"/>
  <c r="C47" i="21"/>
  <c r="E47" i="21" s="1"/>
  <c r="F47" i="21" s="1"/>
  <c r="G44" i="6"/>
  <c r="C47" i="7"/>
  <c r="E47" i="7" s="1"/>
  <c r="F47" i="7" s="1"/>
  <c r="C45" i="11"/>
  <c r="E45" i="11" s="1"/>
  <c r="F45" i="11" s="1"/>
  <c r="C45" i="14"/>
  <c r="E45" i="14" s="1"/>
  <c r="F45" i="14" s="1"/>
  <c r="C45" i="13"/>
  <c r="E45" i="13" s="1"/>
  <c r="F45" i="13" s="1"/>
  <c r="B49" i="13"/>
  <c r="B49" i="11"/>
  <c r="B49" i="14"/>
  <c r="D49" i="14" s="1"/>
  <c r="B52" i="25" l="1"/>
  <c r="B52" i="8"/>
  <c r="B52" i="7"/>
  <c r="B52" i="22"/>
  <c r="E49" i="6"/>
  <c r="B52" i="21"/>
  <c r="C48" i="8"/>
  <c r="E48" i="8" s="1"/>
  <c r="F48" i="8" s="1"/>
  <c r="C48" i="25"/>
  <c r="E48" i="25" s="1"/>
  <c r="F48" i="25" s="1"/>
  <c r="C48" i="22"/>
  <c r="E48" i="22" s="1"/>
  <c r="F48" i="22" s="1"/>
  <c r="C48" i="21"/>
  <c r="E48" i="21" s="1"/>
  <c r="F48" i="21" s="1"/>
  <c r="G45" i="6"/>
  <c r="C48" i="7"/>
  <c r="E48" i="7" s="1"/>
  <c r="F48" i="7" s="1"/>
  <c r="C46" i="14"/>
  <c r="E46" i="14" s="1"/>
  <c r="F46" i="14" s="1"/>
  <c r="C46" i="11"/>
  <c r="E46" i="11" s="1"/>
  <c r="F46" i="11" s="1"/>
  <c r="C46" i="13"/>
  <c r="E46" i="13" s="1"/>
  <c r="F46" i="13" s="1"/>
  <c r="B50" i="14"/>
  <c r="D50" i="14" s="1"/>
  <c r="B50" i="13"/>
  <c r="B50" i="11"/>
  <c r="B53" i="8" l="1"/>
  <c r="B53" i="7"/>
  <c r="B53" i="25"/>
  <c r="E50" i="6"/>
  <c r="B53" i="21"/>
  <c r="B53" i="22"/>
  <c r="C49" i="8"/>
  <c r="E49" i="8" s="1"/>
  <c r="F49" i="8" s="1"/>
  <c r="C49" i="25"/>
  <c r="E49" i="25" s="1"/>
  <c r="F49" i="25" s="1"/>
  <c r="C49" i="22"/>
  <c r="E49" i="22" s="1"/>
  <c r="F49" i="22" s="1"/>
  <c r="C49" i="21"/>
  <c r="E49" i="21" s="1"/>
  <c r="F49" i="21" s="1"/>
  <c r="G46" i="6"/>
  <c r="C49" i="7"/>
  <c r="E49" i="7" s="1"/>
  <c r="F49" i="7" s="1"/>
  <c r="C47" i="11"/>
  <c r="E47" i="11" s="1"/>
  <c r="F47" i="11" s="1"/>
  <c r="C47" i="14"/>
  <c r="E47" i="14" s="1"/>
  <c r="F47" i="14" s="1"/>
  <c r="C47" i="13"/>
  <c r="E47" i="13" s="1"/>
  <c r="F47" i="13" s="1"/>
  <c r="B51" i="11"/>
  <c r="B51" i="14"/>
  <c r="D51" i="14" s="1"/>
  <c r="B51" i="13"/>
  <c r="E51" i="6" l="1"/>
  <c r="B54" i="21"/>
  <c r="B54" i="22"/>
  <c r="B54" i="8"/>
  <c r="B54" i="7"/>
  <c r="B54" i="25"/>
  <c r="C50" i="8"/>
  <c r="E50" i="8" s="1"/>
  <c r="F50" i="8" s="1"/>
  <c r="C50" i="25"/>
  <c r="E50" i="25" s="1"/>
  <c r="F50" i="25" s="1"/>
  <c r="C50" i="22"/>
  <c r="E50" i="22" s="1"/>
  <c r="F50" i="22" s="1"/>
  <c r="C50" i="21"/>
  <c r="E50" i="21" s="1"/>
  <c r="F50" i="21" s="1"/>
  <c r="G47" i="6"/>
  <c r="C50" i="7"/>
  <c r="E50" i="7" s="1"/>
  <c r="F50" i="7" s="1"/>
  <c r="C48" i="11"/>
  <c r="E48" i="11" s="1"/>
  <c r="F48" i="11" s="1"/>
  <c r="C48" i="14"/>
  <c r="E48" i="14" s="1"/>
  <c r="F48" i="14" s="1"/>
  <c r="C48" i="13"/>
  <c r="E48" i="13" s="1"/>
  <c r="F48" i="13" s="1"/>
  <c r="B52" i="13"/>
  <c r="B52" i="14"/>
  <c r="D52" i="14" s="1"/>
  <c r="B52" i="11"/>
  <c r="B55" i="22" l="1"/>
  <c r="E52" i="6"/>
  <c r="B55" i="21"/>
  <c r="B55" i="25"/>
  <c r="B55" i="8"/>
  <c r="B55" i="7"/>
  <c r="C51" i="8"/>
  <c r="E51" i="8" s="1"/>
  <c r="F51" i="8" s="1"/>
  <c r="C51" i="25"/>
  <c r="E51" i="25" s="1"/>
  <c r="F51" i="25" s="1"/>
  <c r="C51" i="22"/>
  <c r="E51" i="22" s="1"/>
  <c r="F51" i="22" s="1"/>
  <c r="C51" i="21"/>
  <c r="E51" i="21" s="1"/>
  <c r="F51" i="21" s="1"/>
  <c r="G48" i="6"/>
  <c r="C51" i="7"/>
  <c r="E51" i="7" s="1"/>
  <c r="F51" i="7" s="1"/>
  <c r="C49" i="14"/>
  <c r="E49" i="14" s="1"/>
  <c r="F49" i="14" s="1"/>
  <c r="C49" i="13"/>
  <c r="E49" i="13" s="1"/>
  <c r="F49" i="13" s="1"/>
  <c r="C49" i="11"/>
  <c r="E49" i="11" s="1"/>
  <c r="F49" i="11" s="1"/>
  <c r="B53" i="13"/>
  <c r="B53" i="11"/>
  <c r="B53" i="14"/>
  <c r="D53" i="14" s="1"/>
  <c r="B56" i="25" l="1"/>
  <c r="B56" i="8"/>
  <c r="B56" i="21"/>
  <c r="B56" i="7"/>
  <c r="E53" i="6"/>
  <c r="B56" i="22"/>
  <c r="C52" i="8"/>
  <c r="E52" i="8" s="1"/>
  <c r="F52" i="8" s="1"/>
  <c r="C52" i="25"/>
  <c r="E52" i="25" s="1"/>
  <c r="F52" i="25" s="1"/>
  <c r="C52" i="22"/>
  <c r="E52" i="22" s="1"/>
  <c r="F52" i="22" s="1"/>
  <c r="C52" i="21"/>
  <c r="E52" i="21" s="1"/>
  <c r="F52" i="21" s="1"/>
  <c r="G49" i="6"/>
  <c r="C52" i="7"/>
  <c r="E52" i="7" s="1"/>
  <c r="F52" i="7" s="1"/>
  <c r="C50" i="14"/>
  <c r="E50" i="14" s="1"/>
  <c r="F50" i="14" s="1"/>
  <c r="C50" i="13"/>
  <c r="E50" i="13" s="1"/>
  <c r="F50" i="13" s="1"/>
  <c r="C50" i="11"/>
  <c r="E50" i="11" s="1"/>
  <c r="F50" i="11" s="1"/>
  <c r="B54" i="11"/>
  <c r="B54" i="14"/>
  <c r="D54" i="14" s="1"/>
  <c r="B54" i="13"/>
  <c r="B57" i="8" l="1"/>
  <c r="B57" i="7"/>
  <c r="E54" i="6"/>
  <c r="B57" i="25"/>
  <c r="B57" i="21"/>
  <c r="B57" i="22"/>
  <c r="C53" i="8"/>
  <c r="E53" i="8" s="1"/>
  <c r="F53" i="8" s="1"/>
  <c r="C53" i="25"/>
  <c r="E53" i="25" s="1"/>
  <c r="F53" i="25" s="1"/>
  <c r="C53" i="22"/>
  <c r="E53" i="22" s="1"/>
  <c r="F53" i="22" s="1"/>
  <c r="C53" i="21"/>
  <c r="E53" i="21" s="1"/>
  <c r="F53" i="21" s="1"/>
  <c r="C53" i="7"/>
  <c r="E53" i="7" s="1"/>
  <c r="F53" i="7" s="1"/>
  <c r="G50" i="6"/>
  <c r="C51" i="14"/>
  <c r="E51" i="14" s="1"/>
  <c r="F51" i="14" s="1"/>
  <c r="C51" i="11"/>
  <c r="E51" i="11" s="1"/>
  <c r="F51" i="11" s="1"/>
  <c r="C51" i="13"/>
  <c r="E51" i="13" s="1"/>
  <c r="F51" i="13" s="1"/>
  <c r="B55" i="14"/>
  <c r="D55" i="14" s="1"/>
  <c r="B55" i="11"/>
  <c r="B55" i="13"/>
  <c r="E55" i="6" l="1"/>
  <c r="B58" i="21"/>
  <c r="B58" i="25"/>
  <c r="B58" i="22"/>
  <c r="B58" i="8"/>
  <c r="B58" i="7"/>
  <c r="C54" i="8"/>
  <c r="E54" i="8" s="1"/>
  <c r="F54" i="8" s="1"/>
  <c r="C54" i="25"/>
  <c r="E54" i="25" s="1"/>
  <c r="F54" i="25" s="1"/>
  <c r="C54" i="22"/>
  <c r="E54" i="22" s="1"/>
  <c r="F54" i="22" s="1"/>
  <c r="C54" i="21"/>
  <c r="E54" i="21" s="1"/>
  <c r="F54" i="21" s="1"/>
  <c r="C54" i="7"/>
  <c r="E54" i="7" s="1"/>
  <c r="F54" i="7" s="1"/>
  <c r="G51" i="6"/>
  <c r="C52" i="14"/>
  <c r="E52" i="14" s="1"/>
  <c r="F52" i="14" s="1"/>
  <c r="C52" i="11"/>
  <c r="E52" i="11" s="1"/>
  <c r="F52" i="11" s="1"/>
  <c r="C52" i="13"/>
  <c r="E52" i="13" s="1"/>
  <c r="F52" i="13" s="1"/>
  <c r="B56" i="14"/>
  <c r="D56" i="14" s="1"/>
  <c r="B56" i="11"/>
  <c r="B56" i="13"/>
  <c r="B59" i="22" l="1"/>
  <c r="E56" i="6"/>
  <c r="B59" i="21"/>
  <c r="B59" i="8"/>
  <c r="B59" i="7"/>
  <c r="B59" i="25"/>
  <c r="C55" i="8"/>
  <c r="E55" i="8" s="1"/>
  <c r="F55" i="8" s="1"/>
  <c r="C55" i="25"/>
  <c r="E55" i="25" s="1"/>
  <c r="F55" i="25" s="1"/>
  <c r="C55" i="22"/>
  <c r="E55" i="22" s="1"/>
  <c r="F55" i="22" s="1"/>
  <c r="C55" i="21"/>
  <c r="E55" i="21" s="1"/>
  <c r="F55" i="21" s="1"/>
  <c r="C55" i="7"/>
  <c r="E55" i="7" s="1"/>
  <c r="F55" i="7" s="1"/>
  <c r="G52" i="6"/>
  <c r="G88" i="6"/>
  <c r="C53" i="11"/>
  <c r="E53" i="11" s="1"/>
  <c r="F53" i="11" s="1"/>
  <c r="C53" i="14"/>
  <c r="E53" i="14" s="1"/>
  <c r="F53" i="14" s="1"/>
  <c r="C53" i="13"/>
  <c r="E53" i="13" s="1"/>
  <c r="F53" i="13" s="1"/>
  <c r="B57" i="14"/>
  <c r="D57" i="14" s="1"/>
  <c r="B57" i="11"/>
  <c r="B57" i="13"/>
  <c r="B60" i="8" l="1"/>
  <c r="B60" i="7"/>
  <c r="E57" i="6"/>
  <c r="B60" i="21"/>
  <c r="B60" i="25"/>
  <c r="B60" i="22"/>
  <c r="C92" i="8"/>
  <c r="C92" i="25"/>
  <c r="C92" i="22"/>
  <c r="C92" i="21"/>
  <c r="E92" i="21" s="1"/>
  <c r="F92" i="21" s="1"/>
  <c r="C56" i="8"/>
  <c r="E56" i="8" s="1"/>
  <c r="F56" i="8" s="1"/>
  <c r="C56" i="25"/>
  <c r="E56" i="25" s="1"/>
  <c r="F56" i="25" s="1"/>
  <c r="C56" i="22"/>
  <c r="E56" i="22" s="1"/>
  <c r="F56" i="22" s="1"/>
  <c r="C56" i="21"/>
  <c r="E56" i="21" s="1"/>
  <c r="F56" i="21" s="1"/>
  <c r="C56" i="7"/>
  <c r="E56" i="7" s="1"/>
  <c r="F56" i="7" s="1"/>
  <c r="G53" i="6"/>
  <c r="C92" i="7"/>
  <c r="G89" i="6"/>
  <c r="C92" i="13"/>
  <c r="E92" i="13" s="1"/>
  <c r="F92" i="13" s="1"/>
  <c r="C92" i="14"/>
  <c r="E92" i="14" s="1"/>
  <c r="F92" i="14" s="1"/>
  <c r="C92" i="11"/>
  <c r="C54" i="13"/>
  <c r="E54" i="13" s="1"/>
  <c r="F54" i="13" s="1"/>
  <c r="C54" i="14"/>
  <c r="E54" i="14" s="1"/>
  <c r="F54" i="14" s="1"/>
  <c r="C54" i="11"/>
  <c r="E54" i="11" s="1"/>
  <c r="F54" i="11" s="1"/>
  <c r="B58" i="14"/>
  <c r="D58" i="14" s="1"/>
  <c r="B58" i="13"/>
  <c r="B58" i="11"/>
  <c r="E58" i="6" l="1"/>
  <c r="B61" i="21"/>
  <c r="B61" i="22"/>
  <c r="B61" i="8"/>
  <c r="B61" i="7"/>
  <c r="B61" i="25"/>
  <c r="C93" i="8"/>
  <c r="C93" i="25"/>
  <c r="C93" i="22"/>
  <c r="C93" i="21"/>
  <c r="E93" i="21" s="1"/>
  <c r="F93" i="21" s="1"/>
  <c r="C57" i="8"/>
  <c r="E57" i="8" s="1"/>
  <c r="F57" i="8" s="1"/>
  <c r="C57" i="25"/>
  <c r="E57" i="25" s="1"/>
  <c r="F57" i="25" s="1"/>
  <c r="C57" i="22"/>
  <c r="E57" i="22" s="1"/>
  <c r="F57" i="22" s="1"/>
  <c r="C57" i="21"/>
  <c r="E57" i="21" s="1"/>
  <c r="F57" i="21" s="1"/>
  <c r="C57" i="7"/>
  <c r="E57" i="7" s="1"/>
  <c r="F57" i="7" s="1"/>
  <c r="G54" i="6"/>
  <c r="C93" i="7"/>
  <c r="G90" i="6"/>
  <c r="C93" i="14"/>
  <c r="E93" i="14" s="1"/>
  <c r="F93" i="14" s="1"/>
  <c r="C93" i="11"/>
  <c r="C93" i="13"/>
  <c r="E93" i="13" s="1"/>
  <c r="F93" i="13" s="1"/>
  <c r="C55" i="14"/>
  <c r="E55" i="14" s="1"/>
  <c r="F55" i="14" s="1"/>
  <c r="C55" i="13"/>
  <c r="E55" i="13" s="1"/>
  <c r="F55" i="13" s="1"/>
  <c r="C55" i="11"/>
  <c r="E55" i="11" s="1"/>
  <c r="F55" i="11" s="1"/>
  <c r="B59" i="11"/>
  <c r="B59" i="13"/>
  <c r="B59" i="14"/>
  <c r="D59" i="14" s="1"/>
  <c r="B62" i="22" l="1"/>
  <c r="B62" i="7"/>
  <c r="E59" i="6"/>
  <c r="B62" i="21"/>
  <c r="B62" i="8"/>
  <c r="B62" i="25"/>
  <c r="C94" i="8"/>
  <c r="C94" i="25"/>
  <c r="C94" i="22"/>
  <c r="C94" i="21"/>
  <c r="E94" i="21" s="1"/>
  <c r="F94" i="21" s="1"/>
  <c r="C58" i="8"/>
  <c r="E58" i="8" s="1"/>
  <c r="F58" i="8" s="1"/>
  <c r="C58" i="25"/>
  <c r="E58" i="25" s="1"/>
  <c r="F58" i="25" s="1"/>
  <c r="C58" i="22"/>
  <c r="E58" i="22" s="1"/>
  <c r="F58" i="22" s="1"/>
  <c r="C58" i="21"/>
  <c r="E58" i="21" s="1"/>
  <c r="F58" i="21" s="1"/>
  <c r="C58" i="7"/>
  <c r="E58" i="7" s="1"/>
  <c r="F58" i="7" s="1"/>
  <c r="G55" i="6"/>
  <c r="C94" i="7"/>
  <c r="G91" i="6"/>
  <c r="C94" i="13"/>
  <c r="E94" i="13" s="1"/>
  <c r="F94" i="13" s="1"/>
  <c r="C94" i="11"/>
  <c r="C94" i="14"/>
  <c r="E94" i="14" s="1"/>
  <c r="F94" i="14" s="1"/>
  <c r="C56" i="11"/>
  <c r="E56" i="11" s="1"/>
  <c r="F56" i="11" s="1"/>
  <c r="C56" i="14"/>
  <c r="E56" i="14" s="1"/>
  <c r="F56" i="14" s="1"/>
  <c r="C56" i="13"/>
  <c r="E56" i="13" s="1"/>
  <c r="F56" i="13" s="1"/>
  <c r="B60" i="13"/>
  <c r="B60" i="14"/>
  <c r="D60" i="14" s="1"/>
  <c r="B60" i="11"/>
  <c r="B63" i="8" l="1"/>
  <c r="B63" i="7"/>
  <c r="E60" i="6"/>
  <c r="B63" i="25"/>
  <c r="B63" i="22"/>
  <c r="B63" i="21"/>
  <c r="C95" i="8"/>
  <c r="C95" i="25"/>
  <c r="C95" i="22"/>
  <c r="C95" i="21"/>
  <c r="E95" i="21" s="1"/>
  <c r="F95" i="21" s="1"/>
  <c r="C59" i="8"/>
  <c r="E59" i="8" s="1"/>
  <c r="F59" i="8" s="1"/>
  <c r="C59" i="25"/>
  <c r="E59" i="25" s="1"/>
  <c r="F59" i="25" s="1"/>
  <c r="C59" i="22"/>
  <c r="E59" i="22" s="1"/>
  <c r="F59" i="22" s="1"/>
  <c r="C59" i="21"/>
  <c r="E59" i="21" s="1"/>
  <c r="F59" i="21" s="1"/>
  <c r="G56" i="6"/>
  <c r="C59" i="7"/>
  <c r="E59" i="7" s="1"/>
  <c r="F59" i="7" s="1"/>
  <c r="C95" i="7"/>
  <c r="G92" i="6"/>
  <c r="C95" i="14"/>
  <c r="E95" i="14" s="1"/>
  <c r="F95" i="14" s="1"/>
  <c r="C95" i="13"/>
  <c r="E95" i="13" s="1"/>
  <c r="F95" i="13" s="1"/>
  <c r="C95" i="11"/>
  <c r="C57" i="14"/>
  <c r="E57" i="14" s="1"/>
  <c r="F57" i="14" s="1"/>
  <c r="C57" i="13"/>
  <c r="E57" i="13" s="1"/>
  <c r="F57" i="13" s="1"/>
  <c r="C57" i="11"/>
  <c r="E57" i="11" s="1"/>
  <c r="F57" i="11" s="1"/>
  <c r="B61" i="14"/>
  <c r="D61" i="14" s="1"/>
  <c r="B61" i="11"/>
  <c r="B61" i="13"/>
  <c r="E61" i="6" l="1"/>
  <c r="B64" i="21"/>
  <c r="B64" i="25"/>
  <c r="B64" i="8"/>
  <c r="B64" i="7"/>
  <c r="B64" i="22"/>
  <c r="C96" i="8"/>
  <c r="C96" i="25"/>
  <c r="C96" i="22"/>
  <c r="C96" i="21"/>
  <c r="E96" i="21" s="1"/>
  <c r="F96" i="21" s="1"/>
  <c r="C60" i="8"/>
  <c r="E60" i="8" s="1"/>
  <c r="F60" i="8" s="1"/>
  <c r="C60" i="25"/>
  <c r="E60" i="25" s="1"/>
  <c r="F60" i="25" s="1"/>
  <c r="C60" i="22"/>
  <c r="E60" i="22" s="1"/>
  <c r="F60" i="22" s="1"/>
  <c r="C60" i="21"/>
  <c r="E60" i="21" s="1"/>
  <c r="F60" i="21" s="1"/>
  <c r="G57" i="6"/>
  <c r="C60" i="7"/>
  <c r="E60" i="7" s="1"/>
  <c r="F60" i="7" s="1"/>
  <c r="C96" i="7"/>
  <c r="G93" i="6"/>
  <c r="C96" i="13"/>
  <c r="E96" i="13" s="1"/>
  <c r="F96" i="13" s="1"/>
  <c r="C96" i="11"/>
  <c r="C96" i="14"/>
  <c r="E96" i="14" s="1"/>
  <c r="F96" i="14" s="1"/>
  <c r="C58" i="14"/>
  <c r="E58" i="14" s="1"/>
  <c r="F58" i="14" s="1"/>
  <c r="C58" i="11"/>
  <c r="E58" i="11" s="1"/>
  <c r="F58" i="11" s="1"/>
  <c r="C58" i="13"/>
  <c r="E58" i="13" s="1"/>
  <c r="F58" i="13" s="1"/>
  <c r="B62" i="11"/>
  <c r="B62" i="14"/>
  <c r="D62" i="14" s="1"/>
  <c r="B62" i="13"/>
  <c r="B65" i="22" l="1"/>
  <c r="B65" i="21"/>
  <c r="E62" i="6"/>
  <c r="B65" i="25"/>
  <c r="B65" i="8"/>
  <c r="B65" i="7"/>
  <c r="C97" i="8"/>
  <c r="C97" i="25"/>
  <c r="C97" i="22"/>
  <c r="C97" i="21"/>
  <c r="E97" i="21" s="1"/>
  <c r="F97" i="21" s="1"/>
  <c r="C61" i="8"/>
  <c r="E61" i="8" s="1"/>
  <c r="F61" i="8" s="1"/>
  <c r="C61" i="25"/>
  <c r="E61" i="25" s="1"/>
  <c r="F61" i="25" s="1"/>
  <c r="C61" i="22"/>
  <c r="E61" i="22" s="1"/>
  <c r="F61" i="22" s="1"/>
  <c r="C61" i="21"/>
  <c r="E61" i="21" s="1"/>
  <c r="F61" i="21" s="1"/>
  <c r="G58" i="6"/>
  <c r="C61" i="7"/>
  <c r="E61" i="7" s="1"/>
  <c r="F61" i="7" s="1"/>
  <c r="C97" i="7"/>
  <c r="G94" i="6"/>
  <c r="C97" i="13"/>
  <c r="E97" i="13" s="1"/>
  <c r="F97" i="13" s="1"/>
  <c r="C97" i="11"/>
  <c r="C97" i="14"/>
  <c r="E97" i="14" s="1"/>
  <c r="F97" i="14" s="1"/>
  <c r="C59" i="14"/>
  <c r="E59" i="14" s="1"/>
  <c r="F59" i="14" s="1"/>
  <c r="C59" i="11"/>
  <c r="E59" i="11" s="1"/>
  <c r="F59" i="11" s="1"/>
  <c r="C59" i="13"/>
  <c r="E59" i="13" s="1"/>
  <c r="F59" i="13" s="1"/>
  <c r="B63" i="13"/>
  <c r="B63" i="14"/>
  <c r="D63" i="14" s="1"/>
  <c r="B63" i="11"/>
  <c r="B66" i="8" l="1"/>
  <c r="B66" i="7"/>
  <c r="B66" i="25"/>
  <c r="E63" i="6"/>
  <c r="B66" i="22"/>
  <c r="B66" i="21"/>
  <c r="C62" i="8"/>
  <c r="E62" i="8" s="1"/>
  <c r="F62" i="8" s="1"/>
  <c r="C62" i="25"/>
  <c r="E62" i="25" s="1"/>
  <c r="F62" i="25" s="1"/>
  <c r="C62" i="22"/>
  <c r="E62" i="22" s="1"/>
  <c r="F62" i="22" s="1"/>
  <c r="C62" i="21"/>
  <c r="E62" i="21" s="1"/>
  <c r="F62" i="21" s="1"/>
  <c r="C98" i="8"/>
  <c r="C98" i="25"/>
  <c r="C98" i="22"/>
  <c r="C98" i="21"/>
  <c r="E98" i="21" s="1"/>
  <c r="F98" i="21" s="1"/>
  <c r="G59" i="6"/>
  <c r="C62" i="7"/>
  <c r="E62" i="7" s="1"/>
  <c r="F62" i="7" s="1"/>
  <c r="C98" i="7"/>
  <c r="G95" i="6"/>
  <c r="C98" i="11"/>
  <c r="C98" i="13"/>
  <c r="E98" i="13" s="1"/>
  <c r="F98" i="13" s="1"/>
  <c r="C98" i="14"/>
  <c r="E98" i="14" s="1"/>
  <c r="F98" i="14" s="1"/>
  <c r="C60" i="11"/>
  <c r="E60" i="11" s="1"/>
  <c r="F60" i="11" s="1"/>
  <c r="C60" i="14"/>
  <c r="E60" i="14" s="1"/>
  <c r="F60" i="14" s="1"/>
  <c r="C60" i="13"/>
  <c r="E60" i="13" s="1"/>
  <c r="F60" i="13" s="1"/>
  <c r="B64" i="13"/>
  <c r="B64" i="14"/>
  <c r="D64" i="14" s="1"/>
  <c r="B64" i="11"/>
  <c r="E64" i="6" l="1"/>
  <c r="B67" i="21"/>
  <c r="B67" i="8"/>
  <c r="B67" i="7"/>
  <c r="B67" i="22"/>
  <c r="B67" i="25"/>
  <c r="C63" i="8"/>
  <c r="E63" i="8" s="1"/>
  <c r="F63" i="8" s="1"/>
  <c r="C63" i="25"/>
  <c r="E63" i="25" s="1"/>
  <c r="F63" i="25" s="1"/>
  <c r="C63" i="22"/>
  <c r="E63" i="22" s="1"/>
  <c r="F63" i="22" s="1"/>
  <c r="C63" i="21"/>
  <c r="E63" i="21" s="1"/>
  <c r="F63" i="21" s="1"/>
  <c r="C99" i="8"/>
  <c r="C99" i="25"/>
  <c r="C99" i="22"/>
  <c r="C99" i="21"/>
  <c r="E99" i="21" s="1"/>
  <c r="F99" i="21" s="1"/>
  <c r="G60" i="6"/>
  <c r="C63" i="7"/>
  <c r="E63" i="7" s="1"/>
  <c r="F63" i="7" s="1"/>
  <c r="C99" i="7"/>
  <c r="G96" i="6"/>
  <c r="C99" i="13"/>
  <c r="E99" i="13" s="1"/>
  <c r="F99" i="13" s="1"/>
  <c r="C99" i="11"/>
  <c r="C99" i="14"/>
  <c r="E99" i="14" s="1"/>
  <c r="F99" i="14" s="1"/>
  <c r="C61" i="14"/>
  <c r="E61" i="14" s="1"/>
  <c r="F61" i="14" s="1"/>
  <c r="C61" i="13"/>
  <c r="E61" i="13" s="1"/>
  <c r="F61" i="13" s="1"/>
  <c r="C61" i="11"/>
  <c r="E61" i="11" s="1"/>
  <c r="F61" i="11" s="1"/>
  <c r="B65" i="11"/>
  <c r="B65" i="14"/>
  <c r="D65" i="14" s="1"/>
  <c r="B65" i="13"/>
  <c r="B68" i="22" l="1"/>
  <c r="B68" i="7"/>
  <c r="E65" i="6"/>
  <c r="B68" i="21"/>
  <c r="B68" i="8"/>
  <c r="B68" i="25"/>
  <c r="C100" i="8"/>
  <c r="C100" i="25"/>
  <c r="C100" i="22"/>
  <c r="C100" i="21"/>
  <c r="E100" i="21" s="1"/>
  <c r="F100" i="21" s="1"/>
  <c r="C64" i="8"/>
  <c r="E64" i="8" s="1"/>
  <c r="F64" i="8" s="1"/>
  <c r="C64" i="25"/>
  <c r="E64" i="25" s="1"/>
  <c r="F64" i="25" s="1"/>
  <c r="C64" i="22"/>
  <c r="E64" i="22" s="1"/>
  <c r="F64" i="22" s="1"/>
  <c r="C64" i="21"/>
  <c r="E64" i="21" s="1"/>
  <c r="F64" i="21" s="1"/>
  <c r="C64" i="7"/>
  <c r="E64" i="7" s="1"/>
  <c r="F64" i="7" s="1"/>
  <c r="G61" i="6"/>
  <c r="C100" i="7"/>
  <c r="G97" i="6"/>
  <c r="C100" i="13"/>
  <c r="E100" i="13" s="1"/>
  <c r="F100" i="13" s="1"/>
  <c r="C100" i="11"/>
  <c r="C100" i="14"/>
  <c r="E100" i="14" s="1"/>
  <c r="F100" i="14" s="1"/>
  <c r="C62" i="14"/>
  <c r="E62" i="14" s="1"/>
  <c r="F62" i="14" s="1"/>
  <c r="C62" i="11"/>
  <c r="E62" i="11" s="1"/>
  <c r="F62" i="11" s="1"/>
  <c r="C62" i="13"/>
  <c r="E62" i="13" s="1"/>
  <c r="F62" i="13" s="1"/>
  <c r="B66" i="13"/>
  <c r="B66" i="11"/>
  <c r="B66" i="14"/>
  <c r="D66" i="14" s="1"/>
  <c r="B69" i="25" l="1"/>
  <c r="E66" i="6"/>
  <c r="B69" i="21"/>
  <c r="B69" i="7"/>
  <c r="B69" i="22"/>
  <c r="B69" i="8"/>
  <c r="C101" i="8"/>
  <c r="C101" i="25"/>
  <c r="C101" i="22"/>
  <c r="C101" i="21"/>
  <c r="E101" i="21" s="1"/>
  <c r="F101" i="21" s="1"/>
  <c r="C65" i="8"/>
  <c r="E65" i="8" s="1"/>
  <c r="F65" i="8" s="1"/>
  <c r="C65" i="25"/>
  <c r="E65" i="25" s="1"/>
  <c r="F65" i="25" s="1"/>
  <c r="C65" i="22"/>
  <c r="E65" i="22" s="1"/>
  <c r="F65" i="22" s="1"/>
  <c r="C65" i="21"/>
  <c r="E65" i="21" s="1"/>
  <c r="F65" i="21" s="1"/>
  <c r="C65" i="7"/>
  <c r="E65" i="7" s="1"/>
  <c r="F65" i="7" s="1"/>
  <c r="G62" i="6"/>
  <c r="C101" i="7"/>
  <c r="G98" i="6"/>
  <c r="C101" i="14"/>
  <c r="E101" i="14" s="1"/>
  <c r="F101" i="14" s="1"/>
  <c r="C101" i="13"/>
  <c r="E101" i="13" s="1"/>
  <c r="F101" i="13" s="1"/>
  <c r="C101" i="11"/>
  <c r="C63" i="13"/>
  <c r="E63" i="13" s="1"/>
  <c r="F63" i="13" s="1"/>
  <c r="C63" i="11"/>
  <c r="E63" i="11" s="1"/>
  <c r="F63" i="11" s="1"/>
  <c r="C63" i="14"/>
  <c r="E63" i="14" s="1"/>
  <c r="F63" i="14" s="1"/>
  <c r="B67" i="13"/>
  <c r="B67" i="11"/>
  <c r="B67" i="14"/>
  <c r="D67" i="14" s="1"/>
  <c r="E67" i="6" l="1"/>
  <c r="B70" i="8"/>
  <c r="B70" i="25"/>
  <c r="B70" i="22"/>
  <c r="B70" i="7"/>
  <c r="B70" i="21"/>
  <c r="C102" i="8"/>
  <c r="C102" i="25"/>
  <c r="C102" i="22"/>
  <c r="C102" i="21"/>
  <c r="E102" i="21" s="1"/>
  <c r="F102" i="21" s="1"/>
  <c r="C66" i="8"/>
  <c r="E66" i="8" s="1"/>
  <c r="F66" i="8" s="1"/>
  <c r="C66" i="25"/>
  <c r="E66" i="25" s="1"/>
  <c r="F66" i="25" s="1"/>
  <c r="C66" i="22"/>
  <c r="E66" i="22" s="1"/>
  <c r="F66" i="22" s="1"/>
  <c r="C66" i="21"/>
  <c r="E66" i="21" s="1"/>
  <c r="F66" i="21" s="1"/>
  <c r="C66" i="7"/>
  <c r="E66" i="7" s="1"/>
  <c r="F66" i="7" s="1"/>
  <c r="G63" i="6"/>
  <c r="C102" i="7"/>
  <c r="G99" i="6"/>
  <c r="C102" i="11"/>
  <c r="C102" i="13"/>
  <c r="E102" i="13" s="1"/>
  <c r="F102" i="13" s="1"/>
  <c r="C102" i="14"/>
  <c r="E102" i="14" s="1"/>
  <c r="F102" i="14" s="1"/>
  <c r="C64" i="14"/>
  <c r="E64" i="14" s="1"/>
  <c r="F64" i="14" s="1"/>
  <c r="C64" i="11"/>
  <c r="E64" i="11" s="1"/>
  <c r="F64" i="11" s="1"/>
  <c r="C64" i="13"/>
  <c r="E64" i="13" s="1"/>
  <c r="F64" i="13" s="1"/>
  <c r="B68" i="14"/>
  <c r="D68" i="14" s="1"/>
  <c r="B68" i="11"/>
  <c r="B68" i="13"/>
  <c r="B71" i="25" l="1"/>
  <c r="B71" i="22"/>
  <c r="B71" i="7"/>
  <c r="B71" i="21"/>
  <c r="B71" i="8"/>
  <c r="C67" i="8"/>
  <c r="E67" i="8" s="1"/>
  <c r="F67" i="8" s="1"/>
  <c r="C67" i="25"/>
  <c r="E67" i="25" s="1"/>
  <c r="F67" i="25" s="1"/>
  <c r="C67" i="22"/>
  <c r="E67" i="22" s="1"/>
  <c r="F67" i="22" s="1"/>
  <c r="C67" i="21"/>
  <c r="E67" i="21" s="1"/>
  <c r="F67" i="21" s="1"/>
  <c r="C103" i="8"/>
  <c r="C103" i="25"/>
  <c r="C103" i="22"/>
  <c r="C103" i="21"/>
  <c r="E103" i="21" s="1"/>
  <c r="F103" i="21" s="1"/>
  <c r="G64" i="6"/>
  <c r="C67" i="7"/>
  <c r="E67" i="7" s="1"/>
  <c r="F67" i="7" s="1"/>
  <c r="C103" i="7"/>
  <c r="G100" i="6"/>
  <c r="C103" i="11"/>
  <c r="C103" i="13"/>
  <c r="E103" i="13" s="1"/>
  <c r="F103" i="13" s="1"/>
  <c r="C103" i="14"/>
  <c r="E103" i="14" s="1"/>
  <c r="F103" i="14" s="1"/>
  <c r="C65" i="11"/>
  <c r="E65" i="11" s="1"/>
  <c r="F65" i="11" s="1"/>
  <c r="C65" i="14"/>
  <c r="E65" i="14" s="1"/>
  <c r="F65" i="14" s="1"/>
  <c r="C65" i="13"/>
  <c r="E65" i="13" s="1"/>
  <c r="F65" i="13" s="1"/>
  <c r="B69" i="11"/>
  <c r="B69" i="13"/>
  <c r="B69" i="14"/>
  <c r="D69" i="14" s="1"/>
  <c r="C104" i="8" l="1"/>
  <c r="C104" i="25"/>
  <c r="C104" i="22"/>
  <c r="C104" i="21"/>
  <c r="E104" i="21" s="1"/>
  <c r="F104" i="21" s="1"/>
  <c r="C68" i="8"/>
  <c r="E68" i="8" s="1"/>
  <c r="F68" i="8" s="1"/>
  <c r="C68" i="25"/>
  <c r="E68" i="25" s="1"/>
  <c r="F68" i="25" s="1"/>
  <c r="C68" i="22"/>
  <c r="E68" i="22" s="1"/>
  <c r="F68" i="22" s="1"/>
  <c r="C68" i="21"/>
  <c r="E68" i="21" s="1"/>
  <c r="F68" i="21" s="1"/>
  <c r="G65" i="6"/>
  <c r="C68" i="7"/>
  <c r="E68" i="7" s="1"/>
  <c r="F68" i="7" s="1"/>
  <c r="C104" i="7"/>
  <c r="G101" i="6"/>
  <c r="C104" i="13"/>
  <c r="E104" i="13" s="1"/>
  <c r="F104" i="13" s="1"/>
  <c r="C104" i="14"/>
  <c r="E104" i="14" s="1"/>
  <c r="F104" i="14" s="1"/>
  <c r="C104" i="11"/>
  <c r="C66" i="11"/>
  <c r="E66" i="11" s="1"/>
  <c r="F66" i="11" s="1"/>
  <c r="C66" i="14"/>
  <c r="E66" i="14" s="1"/>
  <c r="F66" i="14" s="1"/>
  <c r="C66" i="13"/>
  <c r="E66" i="13" s="1"/>
  <c r="F66" i="13" s="1"/>
  <c r="B70" i="13"/>
  <c r="B70" i="11"/>
  <c r="B70" i="14"/>
  <c r="D70" i="14" s="1"/>
  <c r="C105" i="8" l="1"/>
  <c r="C105" i="25"/>
  <c r="C105" i="22"/>
  <c r="C105" i="21"/>
  <c r="E105" i="21" s="1"/>
  <c r="F105" i="21" s="1"/>
  <c r="C69" i="8"/>
  <c r="E69" i="8" s="1"/>
  <c r="F69" i="8" s="1"/>
  <c r="C69" i="25"/>
  <c r="E69" i="25" s="1"/>
  <c r="F69" i="25" s="1"/>
  <c r="C69" i="22"/>
  <c r="E69" i="22" s="1"/>
  <c r="F69" i="22" s="1"/>
  <c r="C69" i="21"/>
  <c r="E69" i="21" s="1"/>
  <c r="F69" i="21" s="1"/>
  <c r="C69" i="7"/>
  <c r="E69" i="7" s="1"/>
  <c r="F69" i="7" s="1"/>
  <c r="G66" i="6"/>
  <c r="C105" i="7"/>
  <c r="G102" i="6"/>
  <c r="C105" i="14"/>
  <c r="E105" i="14" s="1"/>
  <c r="F105" i="14" s="1"/>
  <c r="C105" i="11"/>
  <c r="C105" i="13"/>
  <c r="E105" i="13" s="1"/>
  <c r="F105" i="13" s="1"/>
  <c r="C67" i="13"/>
  <c r="E67" i="13" s="1"/>
  <c r="F67" i="13" s="1"/>
  <c r="C67" i="14"/>
  <c r="E67" i="14" s="1"/>
  <c r="F67" i="14" s="1"/>
  <c r="C67" i="11"/>
  <c r="E67" i="11" s="1"/>
  <c r="F67" i="11" s="1"/>
  <c r="E68" i="6"/>
  <c r="B71" i="11"/>
  <c r="B71" i="13"/>
  <c r="B71" i="14"/>
  <c r="D71" i="14" s="1"/>
  <c r="C70" i="8" l="1"/>
  <c r="E70" i="8" s="1"/>
  <c r="F70" i="8" s="1"/>
  <c r="C70" i="25"/>
  <c r="E70" i="25" s="1"/>
  <c r="F70" i="25" s="1"/>
  <c r="C70" i="22"/>
  <c r="E70" i="22" s="1"/>
  <c r="F70" i="22" s="1"/>
  <c r="C70" i="21"/>
  <c r="E70" i="21" s="1"/>
  <c r="F70" i="21" s="1"/>
  <c r="B72" i="7"/>
  <c r="B72" i="8"/>
  <c r="B72" i="25"/>
  <c r="B72" i="22"/>
  <c r="B72" i="21"/>
  <c r="C106" i="8"/>
  <c r="C106" i="25"/>
  <c r="C106" i="22"/>
  <c r="C106" i="21"/>
  <c r="E106" i="21" s="1"/>
  <c r="F106" i="21" s="1"/>
  <c r="C70" i="7"/>
  <c r="E70" i="7" s="1"/>
  <c r="F70" i="7" s="1"/>
  <c r="G67" i="6"/>
  <c r="C106" i="7"/>
  <c r="G103" i="6"/>
  <c r="C106" i="14"/>
  <c r="E106" i="14" s="1"/>
  <c r="F106" i="14" s="1"/>
  <c r="C106" i="13"/>
  <c r="E106" i="13" s="1"/>
  <c r="F106" i="13" s="1"/>
  <c r="C106" i="11"/>
  <c r="C68" i="14"/>
  <c r="E68" i="14" s="1"/>
  <c r="F68" i="14" s="1"/>
  <c r="C68" i="13"/>
  <c r="E68" i="13" s="1"/>
  <c r="F68" i="13" s="1"/>
  <c r="C68" i="11"/>
  <c r="E68" i="11" s="1"/>
  <c r="F68" i="11" s="1"/>
  <c r="E69" i="6"/>
  <c r="B72" i="14"/>
  <c r="D72" i="14" s="1"/>
  <c r="B72" i="11"/>
  <c r="B72" i="13"/>
  <c r="C71" i="8" l="1"/>
  <c r="E71" i="8" s="1"/>
  <c r="F71" i="8" s="1"/>
  <c r="C71" i="25"/>
  <c r="E71" i="25" s="1"/>
  <c r="F71" i="25" s="1"/>
  <c r="C71" i="22"/>
  <c r="E71" i="22" s="1"/>
  <c r="F71" i="22" s="1"/>
  <c r="C71" i="21"/>
  <c r="E71" i="21" s="1"/>
  <c r="F71" i="21" s="1"/>
  <c r="C107" i="8"/>
  <c r="C107" i="25"/>
  <c r="C107" i="22"/>
  <c r="C107" i="21"/>
  <c r="E107" i="21" s="1"/>
  <c r="F107" i="21" s="1"/>
  <c r="B73" i="7"/>
  <c r="B73" i="8"/>
  <c r="B73" i="25"/>
  <c r="B73" i="22"/>
  <c r="B73" i="21"/>
  <c r="C71" i="7"/>
  <c r="E71" i="7" s="1"/>
  <c r="F71" i="7" s="1"/>
  <c r="G68" i="6"/>
  <c r="C107" i="7"/>
  <c r="G104" i="6"/>
  <c r="C107" i="14"/>
  <c r="E107" i="14" s="1"/>
  <c r="F107" i="14" s="1"/>
  <c r="C107" i="11"/>
  <c r="C107" i="13"/>
  <c r="E107" i="13" s="1"/>
  <c r="F107" i="13" s="1"/>
  <c r="C69" i="14"/>
  <c r="E69" i="14" s="1"/>
  <c r="F69" i="14" s="1"/>
  <c r="C69" i="11"/>
  <c r="E69" i="11" s="1"/>
  <c r="F69" i="11" s="1"/>
  <c r="C69" i="13"/>
  <c r="E69" i="13" s="1"/>
  <c r="F69" i="13" s="1"/>
  <c r="E70" i="6"/>
  <c r="B73" i="14"/>
  <c r="D73" i="14" s="1"/>
  <c r="B73" i="13"/>
  <c r="B73" i="11"/>
  <c r="E72" i="25" l="1"/>
  <c r="F72" i="25" s="1"/>
  <c r="C72" i="8"/>
  <c r="E72" i="8" s="1"/>
  <c r="F72" i="8" s="1"/>
  <c r="C72" i="25"/>
  <c r="C72" i="22"/>
  <c r="E72" i="22" s="1"/>
  <c r="F72" i="22" s="1"/>
  <c r="C72" i="21"/>
  <c r="E72" i="21" s="1"/>
  <c r="F72" i="21" s="1"/>
  <c r="B74" i="7"/>
  <c r="B74" i="8"/>
  <c r="B74" i="25"/>
  <c r="B74" i="22"/>
  <c r="B74" i="21"/>
  <c r="C108" i="8"/>
  <c r="C108" i="25"/>
  <c r="C108" i="22"/>
  <c r="C108" i="21"/>
  <c r="E108" i="21" s="1"/>
  <c r="F108" i="21" s="1"/>
  <c r="C72" i="7"/>
  <c r="E72" i="7" s="1"/>
  <c r="F72" i="7" s="1"/>
  <c r="G69" i="6"/>
  <c r="C108" i="7"/>
  <c r="G105" i="6"/>
  <c r="C108" i="11"/>
  <c r="C108" i="14"/>
  <c r="E108" i="14" s="1"/>
  <c r="F108" i="14" s="1"/>
  <c r="C108" i="13"/>
  <c r="E108" i="13" s="1"/>
  <c r="F108" i="13" s="1"/>
  <c r="C70" i="11"/>
  <c r="E70" i="11" s="1"/>
  <c r="F70" i="11" s="1"/>
  <c r="C70" i="14"/>
  <c r="E70" i="14" s="1"/>
  <c r="F70" i="14" s="1"/>
  <c r="C70" i="13"/>
  <c r="E70" i="13" s="1"/>
  <c r="F70" i="13" s="1"/>
  <c r="E71" i="6"/>
  <c r="B74" i="13"/>
  <c r="B74" i="14"/>
  <c r="D74" i="14" s="1"/>
  <c r="B74" i="11"/>
  <c r="C73" i="8" l="1"/>
  <c r="E73" i="8" s="1"/>
  <c r="F73" i="8" s="1"/>
  <c r="C73" i="25"/>
  <c r="E73" i="25" s="1"/>
  <c r="F73" i="25" s="1"/>
  <c r="C73" i="22"/>
  <c r="E73" i="22" s="1"/>
  <c r="F73" i="22" s="1"/>
  <c r="C73" i="21"/>
  <c r="E73" i="21" s="1"/>
  <c r="F73" i="21" s="1"/>
  <c r="B75" i="7"/>
  <c r="B75" i="8"/>
  <c r="B75" i="25"/>
  <c r="B75" i="22"/>
  <c r="B75" i="21"/>
  <c r="C109" i="8"/>
  <c r="C109" i="25"/>
  <c r="C109" i="22"/>
  <c r="C109" i="21"/>
  <c r="C73" i="7"/>
  <c r="E73" i="7" s="1"/>
  <c r="F73" i="7" s="1"/>
  <c r="G70" i="6"/>
  <c r="C109" i="7"/>
  <c r="C109" i="13"/>
  <c r="E109" i="13" s="1"/>
  <c r="F109" i="13" s="1"/>
  <c r="C109" i="11"/>
  <c r="C109" i="14"/>
  <c r="E109" i="14" s="1"/>
  <c r="F109" i="14" s="1"/>
  <c r="C71" i="14"/>
  <c r="E71" i="14" s="1"/>
  <c r="F71" i="14" s="1"/>
  <c r="C71" i="11"/>
  <c r="E71" i="11" s="1"/>
  <c r="F71" i="11" s="1"/>
  <c r="C71" i="13"/>
  <c r="E71" i="13" s="1"/>
  <c r="F71" i="13" s="1"/>
  <c r="B75" i="11"/>
  <c r="B75" i="13"/>
  <c r="B75" i="14"/>
  <c r="D75" i="14" s="1"/>
  <c r="E72" i="6"/>
  <c r="B76" i="7" l="1"/>
  <c r="B76" i="8"/>
  <c r="B76" i="25"/>
  <c r="B76" i="22"/>
  <c r="B76" i="21"/>
  <c r="C74" i="8"/>
  <c r="E74" i="8" s="1"/>
  <c r="F74" i="8" s="1"/>
  <c r="C74" i="25"/>
  <c r="E74" i="25" s="1"/>
  <c r="F74" i="25" s="1"/>
  <c r="C74" i="22"/>
  <c r="E74" i="22" s="1"/>
  <c r="F74" i="22" s="1"/>
  <c r="C74" i="21"/>
  <c r="E74" i="21" s="1"/>
  <c r="F74" i="21" s="1"/>
  <c r="E109" i="21"/>
  <c r="F109" i="21" s="1"/>
  <c r="C74" i="7"/>
  <c r="E74" i="7" s="1"/>
  <c r="F74" i="7" s="1"/>
  <c r="G71" i="6"/>
  <c r="C72" i="14"/>
  <c r="E72" i="14" s="1"/>
  <c r="F72" i="14" s="1"/>
  <c r="C72" i="11"/>
  <c r="E72" i="11" s="1"/>
  <c r="F72" i="11" s="1"/>
  <c r="C72" i="13"/>
  <c r="E72" i="13" s="1"/>
  <c r="F72" i="13" s="1"/>
  <c r="E73" i="6"/>
  <c r="B76" i="14"/>
  <c r="D76" i="14" s="1"/>
  <c r="B76" i="13"/>
  <c r="B76" i="11"/>
  <c r="C75" i="8" l="1"/>
  <c r="E75" i="8" s="1"/>
  <c r="F75" i="8" s="1"/>
  <c r="C75" i="25"/>
  <c r="E75" i="25" s="1"/>
  <c r="F75" i="25" s="1"/>
  <c r="C75" i="22"/>
  <c r="E75" i="22" s="1"/>
  <c r="F75" i="22" s="1"/>
  <c r="C75" i="21"/>
  <c r="B77" i="7"/>
  <c r="B77" i="8"/>
  <c r="B77" i="25"/>
  <c r="B77" i="22"/>
  <c r="B77" i="21"/>
  <c r="C75" i="7"/>
  <c r="E75" i="7" s="1"/>
  <c r="F75" i="7" s="1"/>
  <c r="G72" i="6"/>
  <c r="C73" i="11"/>
  <c r="E73" i="11" s="1"/>
  <c r="F73" i="11" s="1"/>
  <c r="C73" i="13"/>
  <c r="E73" i="13" s="1"/>
  <c r="F73" i="13" s="1"/>
  <c r="C73" i="14"/>
  <c r="E73" i="14" s="1"/>
  <c r="F73" i="14" s="1"/>
  <c r="E74" i="6"/>
  <c r="B77" i="11"/>
  <c r="B77" i="14"/>
  <c r="D77" i="14" s="1"/>
  <c r="B77" i="13"/>
  <c r="E75" i="21" l="1"/>
  <c r="F75" i="21" s="1"/>
  <c r="B78" i="7"/>
  <c r="B78" i="8"/>
  <c r="B78" i="25"/>
  <c r="B78" i="22"/>
  <c r="B78" i="21"/>
  <c r="C76" i="8"/>
  <c r="E76" i="8" s="1"/>
  <c r="F76" i="8" s="1"/>
  <c r="C76" i="25"/>
  <c r="E76" i="25" s="1"/>
  <c r="F76" i="25" s="1"/>
  <c r="C76" i="22"/>
  <c r="E76" i="22" s="1"/>
  <c r="F76" i="22" s="1"/>
  <c r="C76" i="21"/>
  <c r="E76" i="21" s="1"/>
  <c r="F76" i="21" s="1"/>
  <c r="C76" i="7"/>
  <c r="E76" i="7" s="1"/>
  <c r="F76" i="7" s="1"/>
  <c r="G73" i="6"/>
  <c r="C74" i="11"/>
  <c r="E74" i="11" s="1"/>
  <c r="F74" i="11" s="1"/>
  <c r="C74" i="14"/>
  <c r="E74" i="14" s="1"/>
  <c r="F74" i="14" s="1"/>
  <c r="C74" i="13"/>
  <c r="E74" i="13" s="1"/>
  <c r="F74" i="13" s="1"/>
  <c r="E75" i="6"/>
  <c r="B78" i="14"/>
  <c r="D78" i="14" s="1"/>
  <c r="B78" i="13"/>
  <c r="B78" i="11"/>
  <c r="C77" i="8" l="1"/>
  <c r="E77" i="8" s="1"/>
  <c r="F77" i="8" s="1"/>
  <c r="C77" i="25"/>
  <c r="E77" i="25" s="1"/>
  <c r="F77" i="25" s="1"/>
  <c r="C77" i="22"/>
  <c r="E77" i="22" s="1"/>
  <c r="F77" i="22" s="1"/>
  <c r="C77" i="21"/>
  <c r="E77" i="21" s="1"/>
  <c r="F77" i="21" s="1"/>
  <c r="B79" i="8"/>
  <c r="B79" i="25"/>
  <c r="B79" i="22"/>
  <c r="B79" i="21"/>
  <c r="C77" i="7"/>
  <c r="E77" i="7" s="1"/>
  <c r="F77" i="7" s="1"/>
  <c r="G74" i="6"/>
  <c r="E76" i="6"/>
  <c r="B79" i="7"/>
  <c r="C75" i="13"/>
  <c r="E75" i="13" s="1"/>
  <c r="F75" i="13" s="1"/>
  <c r="C75" i="14"/>
  <c r="E75" i="14" s="1"/>
  <c r="F75" i="14" s="1"/>
  <c r="C75" i="11"/>
  <c r="E75" i="11" s="1"/>
  <c r="F75" i="11" s="1"/>
  <c r="B79" i="11"/>
  <c r="B79" i="13"/>
  <c r="B79" i="14"/>
  <c r="D79" i="14" s="1"/>
  <c r="F79" i="22" l="1"/>
  <c r="E79" i="22"/>
  <c r="B80" i="7"/>
  <c r="B80" i="8"/>
  <c r="B80" i="21"/>
  <c r="F79" i="25"/>
  <c r="E79" i="25"/>
  <c r="C78" i="8"/>
  <c r="E78" i="8" s="1"/>
  <c r="F78" i="8" s="1"/>
  <c r="C78" i="25"/>
  <c r="E78" i="25" s="1"/>
  <c r="F78" i="25" s="1"/>
  <c r="C78" i="22"/>
  <c r="E78" i="22" s="1"/>
  <c r="F78" i="22" s="1"/>
  <c r="C78" i="21"/>
  <c r="F79" i="8"/>
  <c r="E79" i="8"/>
  <c r="E77" i="6"/>
  <c r="B81" i="11" s="1"/>
  <c r="B80" i="14"/>
  <c r="D80" i="14" s="1"/>
  <c r="C78" i="7"/>
  <c r="E78" i="7" s="1"/>
  <c r="F78" i="7" s="1"/>
  <c r="G75" i="6"/>
  <c r="E78" i="6"/>
  <c r="C76" i="14"/>
  <c r="E76" i="14" s="1"/>
  <c r="F76" i="14" s="1"/>
  <c r="C76" i="11"/>
  <c r="E76" i="11" s="1"/>
  <c r="F76" i="11" s="1"/>
  <c r="C76" i="13"/>
  <c r="E76" i="13" s="1"/>
  <c r="F76" i="13" s="1"/>
  <c r="E78" i="21" l="1"/>
  <c r="F78" i="21" s="1"/>
  <c r="B81" i="7"/>
  <c r="B81" i="8"/>
  <c r="B81" i="25"/>
  <c r="B81" i="22"/>
  <c r="B81" i="21"/>
  <c r="B82" i="7"/>
  <c r="B82" i="8"/>
  <c r="B82" i="25"/>
  <c r="B82" i="22"/>
  <c r="B82" i="21"/>
  <c r="C79" i="8"/>
  <c r="C79" i="25"/>
  <c r="C79" i="22"/>
  <c r="C79" i="21"/>
  <c r="E79" i="21" s="1"/>
  <c r="F79" i="21" s="1"/>
  <c r="F80" i="8"/>
  <c r="E80" i="8"/>
  <c r="B81" i="14"/>
  <c r="D81" i="14" s="1"/>
  <c r="C79" i="7"/>
  <c r="E79" i="7" s="1"/>
  <c r="F79" i="7" s="1"/>
  <c r="G76" i="6"/>
  <c r="E79" i="6"/>
  <c r="B82" i="11"/>
  <c r="B82" i="14"/>
  <c r="D82" i="14" s="1"/>
  <c r="C77" i="11"/>
  <c r="E77" i="11" s="1"/>
  <c r="F77" i="11" s="1"/>
  <c r="C77" i="14"/>
  <c r="E77" i="14" s="1"/>
  <c r="F77" i="14" s="1"/>
  <c r="C77" i="13"/>
  <c r="E77" i="13" s="1"/>
  <c r="F77" i="13" s="1"/>
  <c r="E82" i="22" l="1"/>
  <c r="F82" i="22"/>
  <c r="E81" i="8"/>
  <c r="F81" i="8"/>
  <c r="C80" i="8"/>
  <c r="C80" i="25"/>
  <c r="C80" i="22"/>
  <c r="C80" i="21"/>
  <c r="E80" i="21" s="1"/>
  <c r="F80" i="21" s="1"/>
  <c r="F82" i="25"/>
  <c r="E82" i="25"/>
  <c r="F81" i="22"/>
  <c r="E81" i="22"/>
  <c r="B83" i="7"/>
  <c r="B83" i="8"/>
  <c r="B83" i="25"/>
  <c r="B83" i="22"/>
  <c r="B83" i="21"/>
  <c r="E82" i="8"/>
  <c r="F82" i="8"/>
  <c r="F81" i="25"/>
  <c r="E81" i="25"/>
  <c r="C80" i="11"/>
  <c r="C80" i="14"/>
  <c r="E80" i="14" s="1"/>
  <c r="F80" i="14" s="1"/>
  <c r="C80" i="7"/>
  <c r="E80" i="7" s="1"/>
  <c r="F80" i="7" s="1"/>
  <c r="G77" i="6"/>
  <c r="E80" i="6"/>
  <c r="B83" i="14"/>
  <c r="D83" i="14" s="1"/>
  <c r="B83" i="13"/>
  <c r="B83" i="11"/>
  <c r="C78" i="11"/>
  <c r="E78" i="11" s="1"/>
  <c r="F78" i="11" s="1"/>
  <c r="C78" i="14"/>
  <c r="E78" i="14" s="1"/>
  <c r="F78" i="14" s="1"/>
  <c r="C78" i="13"/>
  <c r="E78" i="13" s="1"/>
  <c r="F78" i="13" s="1"/>
  <c r="B84" i="8" l="1"/>
  <c r="B84" i="25"/>
  <c r="B84" i="22"/>
  <c r="B84" i="21"/>
  <c r="E83" i="8"/>
  <c r="F83" i="8"/>
  <c r="E83" i="25"/>
  <c r="F83" i="25"/>
  <c r="C81" i="8"/>
  <c r="C81" i="25"/>
  <c r="C81" i="22"/>
  <c r="C81" i="21"/>
  <c r="E81" i="21" s="1"/>
  <c r="F81" i="21" s="1"/>
  <c r="E83" i="22"/>
  <c r="F83" i="22"/>
  <c r="B84" i="7"/>
  <c r="E81" i="6"/>
  <c r="C81" i="14"/>
  <c r="E81" i="14" s="1"/>
  <c r="F81" i="14" s="1"/>
  <c r="C81" i="7"/>
  <c r="E81" i="7" s="1"/>
  <c r="F81" i="7" s="1"/>
  <c r="C81" i="11"/>
  <c r="E81" i="11" s="1"/>
  <c r="F81" i="11" s="1"/>
  <c r="G78" i="6"/>
  <c r="D83" i="13"/>
  <c r="B84" i="13"/>
  <c r="D84" i="13" s="1"/>
  <c r="B84" i="14"/>
  <c r="D84" i="14" s="1"/>
  <c r="B84" i="11"/>
  <c r="C79" i="14"/>
  <c r="C79" i="13"/>
  <c r="C79" i="11"/>
  <c r="E82" i="6" l="1"/>
  <c r="B86" i="7" s="1"/>
  <c r="B85" i="8"/>
  <c r="B85" i="25"/>
  <c r="B85" i="22"/>
  <c r="B85" i="21"/>
  <c r="F84" i="22"/>
  <c r="E84" i="22"/>
  <c r="F84" i="25"/>
  <c r="E84" i="25"/>
  <c r="C82" i="8"/>
  <c r="C82" i="25"/>
  <c r="C82" i="22"/>
  <c r="C82" i="21"/>
  <c r="E82" i="21" s="1"/>
  <c r="F82" i="21" s="1"/>
  <c r="F84" i="8"/>
  <c r="E84" i="8"/>
  <c r="E83" i="6"/>
  <c r="B86" i="11"/>
  <c r="B86" i="14"/>
  <c r="D86" i="14" s="1"/>
  <c r="B85" i="14"/>
  <c r="D85" i="14" s="1"/>
  <c r="B85" i="13"/>
  <c r="D85" i="13" s="1"/>
  <c r="B85" i="7"/>
  <c r="B85" i="11"/>
  <c r="C82" i="11"/>
  <c r="E82" i="11" s="1"/>
  <c r="F82" i="11" s="1"/>
  <c r="C82" i="7"/>
  <c r="E82" i="7" s="1"/>
  <c r="F82" i="7" s="1"/>
  <c r="C82" i="14"/>
  <c r="E82" i="14" s="1"/>
  <c r="F82" i="14" s="1"/>
  <c r="G79" i="6"/>
  <c r="E79" i="13"/>
  <c r="F79" i="13" s="1"/>
  <c r="E79" i="14"/>
  <c r="F79" i="14" s="1"/>
  <c r="E79" i="11"/>
  <c r="F79" i="11" s="1"/>
  <c r="B86" i="13" l="1"/>
  <c r="D86" i="13" s="1"/>
  <c r="F85" i="22"/>
  <c r="E85" i="22"/>
  <c r="C83" i="8"/>
  <c r="C83" i="25"/>
  <c r="C83" i="22"/>
  <c r="C83" i="21"/>
  <c r="E83" i="21" s="1"/>
  <c r="F83" i="21" s="1"/>
  <c r="E85" i="25"/>
  <c r="F85" i="25"/>
  <c r="B87" i="8"/>
  <c r="B87" i="25"/>
  <c r="B87" i="22"/>
  <c r="B87" i="21"/>
  <c r="F85" i="8"/>
  <c r="E85" i="8"/>
  <c r="B86" i="8"/>
  <c r="B86" i="25"/>
  <c r="B86" i="22"/>
  <c r="B86" i="21"/>
  <c r="B87" i="14"/>
  <c r="D87" i="14" s="1"/>
  <c r="B87" i="11"/>
  <c r="B87" i="13"/>
  <c r="B87" i="7"/>
  <c r="E84" i="6"/>
  <c r="C83" i="14"/>
  <c r="E83" i="14" s="1"/>
  <c r="F83" i="14" s="1"/>
  <c r="C83" i="7"/>
  <c r="C83" i="11"/>
  <c r="G80" i="6"/>
  <c r="C83" i="13"/>
  <c r="G81" i="6" l="1"/>
  <c r="C85" i="11" s="1"/>
  <c r="E85" i="11" s="1"/>
  <c r="F85" i="11" s="1"/>
  <c r="C84" i="8"/>
  <c r="C84" i="25"/>
  <c r="C84" i="22"/>
  <c r="C84" i="21"/>
  <c r="E84" i="21" s="1"/>
  <c r="F84" i="21" s="1"/>
  <c r="F86" i="22"/>
  <c r="E86" i="22"/>
  <c r="E87" i="25"/>
  <c r="F87" i="25"/>
  <c r="F86" i="25"/>
  <c r="E86" i="25"/>
  <c r="F87" i="8"/>
  <c r="E87" i="8"/>
  <c r="B88" i="8"/>
  <c r="B88" i="25"/>
  <c r="B88" i="22"/>
  <c r="B88" i="21"/>
  <c r="E86" i="8"/>
  <c r="F86" i="8"/>
  <c r="E87" i="22"/>
  <c r="F87" i="22"/>
  <c r="B88" i="7"/>
  <c r="B88" i="14"/>
  <c r="D88" i="14" s="1"/>
  <c r="E85" i="6"/>
  <c r="B88" i="13"/>
  <c r="D88" i="13" s="1"/>
  <c r="B88" i="11"/>
  <c r="D87" i="13"/>
  <c r="G83" i="6"/>
  <c r="E83" i="7"/>
  <c r="F83" i="7" s="1"/>
  <c r="E83" i="13"/>
  <c r="F83" i="13" s="1"/>
  <c r="C84" i="7"/>
  <c r="E84" i="7" s="1"/>
  <c r="F84" i="7" s="1"/>
  <c r="C84" i="11"/>
  <c r="E84" i="11" s="1"/>
  <c r="F84" i="11" s="1"/>
  <c r="C84" i="14"/>
  <c r="C84" i="13"/>
  <c r="E84" i="13" s="1"/>
  <c r="F84" i="13" s="1"/>
  <c r="E83" i="11"/>
  <c r="F83" i="11" s="1"/>
  <c r="C85" i="13" l="1"/>
  <c r="E85" i="13" s="1"/>
  <c r="F85" i="13" s="1"/>
  <c r="C85" i="7"/>
  <c r="E85" i="7" s="1"/>
  <c r="F85" i="7" s="1"/>
  <c r="C85" i="14"/>
  <c r="E85" i="14" s="1"/>
  <c r="F85" i="14" s="1"/>
  <c r="F88" i="22"/>
  <c r="E88" i="22"/>
  <c r="F88" i="25"/>
  <c r="E88" i="25"/>
  <c r="B89" i="8"/>
  <c r="B89" i="25"/>
  <c r="B89" i="22"/>
  <c r="B89" i="21"/>
  <c r="F88" i="8"/>
  <c r="E88" i="8"/>
  <c r="C87" i="8"/>
  <c r="C87" i="25"/>
  <c r="C87" i="22"/>
  <c r="C87" i="21"/>
  <c r="E87" i="21" s="1"/>
  <c r="F87" i="21" s="1"/>
  <c r="G82" i="6"/>
  <c r="C85" i="8"/>
  <c r="C85" i="25"/>
  <c r="C85" i="22"/>
  <c r="C85" i="21"/>
  <c r="E85" i="21" s="1"/>
  <c r="F85" i="21" s="1"/>
  <c r="B89" i="13"/>
  <c r="B89" i="14"/>
  <c r="D89" i="14" s="1"/>
  <c r="B89" i="7"/>
  <c r="B89" i="11"/>
  <c r="C87" i="13"/>
  <c r="E87" i="13" s="1"/>
  <c r="F87" i="13" s="1"/>
  <c r="C87" i="7"/>
  <c r="E87" i="7" s="1"/>
  <c r="F87" i="7" s="1"/>
  <c r="C87" i="14"/>
  <c r="E87" i="14" s="1"/>
  <c r="F87" i="14" s="1"/>
  <c r="G84" i="6"/>
  <c r="C87" i="11"/>
  <c r="E84" i="14"/>
  <c r="F84" i="14" s="1"/>
  <c r="E89" i="8" l="1"/>
  <c r="F89" i="8"/>
  <c r="C88" i="8"/>
  <c r="C88" i="25"/>
  <c r="C88" i="22"/>
  <c r="C88" i="21"/>
  <c r="E88" i="21" s="1"/>
  <c r="F88" i="21" s="1"/>
  <c r="C86" i="8"/>
  <c r="C86" i="25"/>
  <c r="C86" i="22"/>
  <c r="C86" i="21"/>
  <c r="E86" i="21" s="1"/>
  <c r="F86" i="21" s="1"/>
  <c r="C86" i="13"/>
  <c r="E86" i="13" s="1"/>
  <c r="F86" i="13" s="1"/>
  <c r="C86" i="11"/>
  <c r="E86" i="11" s="1"/>
  <c r="F86" i="11" s="1"/>
  <c r="C86" i="14"/>
  <c r="E86" i="14" s="1"/>
  <c r="F86" i="14" s="1"/>
  <c r="C86" i="7"/>
  <c r="E86" i="7" s="1"/>
  <c r="F86" i="7" s="1"/>
  <c r="H37" i="21"/>
  <c r="H40" i="21"/>
  <c r="F89" i="25"/>
  <c r="E5" i="25" s="1"/>
  <c r="H46" i="25" s="1"/>
  <c r="E89" i="25"/>
  <c r="H37" i="25"/>
  <c r="H40" i="25"/>
  <c r="F89" i="22"/>
  <c r="E5" i="22" s="1"/>
  <c r="E89" i="22"/>
  <c r="H40" i="22"/>
  <c r="H37" i="22"/>
  <c r="H40" i="7"/>
  <c r="H37" i="7"/>
  <c r="H40" i="14"/>
  <c r="H37" i="14"/>
  <c r="D89" i="13"/>
  <c r="H40" i="13"/>
  <c r="H37" i="13"/>
  <c r="H40" i="11"/>
  <c r="H37" i="11"/>
  <c r="H37" i="8"/>
  <c r="H40" i="8"/>
  <c r="E87" i="11"/>
  <c r="F87" i="11" s="1"/>
  <c r="C88" i="11"/>
  <c r="E88" i="11" s="1"/>
  <c r="F88" i="11" s="1"/>
  <c r="C88" i="13"/>
  <c r="C88" i="7"/>
  <c r="C88" i="14"/>
  <c r="G85" i="6"/>
  <c r="F2" i="25" l="1"/>
  <c r="F3" i="25"/>
  <c r="F2" i="21"/>
  <c r="F3" i="21"/>
  <c r="C89" i="8"/>
  <c r="C89" i="25"/>
  <c r="C89" i="22"/>
  <c r="C89" i="21"/>
  <c r="E89" i="21" s="1"/>
  <c r="F89" i="21" s="1"/>
  <c r="F2" i="22"/>
  <c r="F3" i="22"/>
  <c r="F3" i="14"/>
  <c r="F2" i="14"/>
  <c r="F2" i="13"/>
  <c r="F3" i="13"/>
  <c r="F3" i="11"/>
  <c r="F2" i="11"/>
  <c r="F3" i="8"/>
  <c r="F2" i="8"/>
  <c r="F3" i="7"/>
  <c r="F2" i="7"/>
  <c r="E88" i="13"/>
  <c r="F88" i="13" s="1"/>
  <c r="C89" i="11"/>
  <c r="E89" i="11" s="1"/>
  <c r="F89" i="11" s="1"/>
  <c r="C89" i="7"/>
  <c r="E89" i="7" s="1"/>
  <c r="F89" i="7" s="1"/>
  <c r="C89" i="14"/>
  <c r="E89" i="14" s="1"/>
  <c r="F89" i="14" s="1"/>
  <c r="G86" i="6"/>
  <c r="C89" i="13"/>
  <c r="E89" i="13" s="1"/>
  <c r="F89" i="13" s="1"/>
  <c r="E88" i="14"/>
  <c r="F88" i="14" s="1"/>
  <c r="E88" i="7"/>
  <c r="F88" i="7" s="1"/>
  <c r="C90" i="8" l="1"/>
  <c r="C90" i="25"/>
  <c r="C90" i="22"/>
  <c r="C90" i="21"/>
  <c r="E90" i="21" s="1"/>
  <c r="F90" i="21" s="1"/>
  <c r="C90" i="13"/>
  <c r="E90" i="13" s="1"/>
  <c r="F90" i="13" s="1"/>
  <c r="C90" i="14"/>
  <c r="C90" i="7"/>
  <c r="G87" i="6"/>
  <c r="C90" i="11"/>
  <c r="C91" i="8" l="1"/>
  <c r="C91" i="25"/>
  <c r="C7" i="25" s="1"/>
  <c r="O4" i="25" s="1"/>
  <c r="C91" i="22"/>
  <c r="C91" i="21"/>
  <c r="E90" i="11"/>
  <c r="F90" i="11" s="1"/>
  <c r="E90" i="14"/>
  <c r="F90" i="14" s="1"/>
  <c r="C91" i="14"/>
  <c r="E91" i="14" s="1"/>
  <c r="F91" i="14" s="1"/>
  <c r="C91" i="11"/>
  <c r="E91" i="11" s="1"/>
  <c r="F91" i="11" s="1"/>
  <c r="C91" i="7"/>
  <c r="E91" i="7" s="1"/>
  <c r="F91" i="7" s="1"/>
  <c r="C91" i="13"/>
  <c r="E91" i="13" s="1"/>
  <c r="F91" i="13" s="1"/>
  <c r="E5" i="13" s="1"/>
  <c r="C7" i="8"/>
  <c r="E90" i="7"/>
  <c r="F90" i="7" s="1"/>
  <c r="C7" i="22" l="1"/>
  <c r="O4" i="22" s="1"/>
  <c r="E91" i="21"/>
  <c r="F91" i="21" s="1"/>
  <c r="E5" i="21" s="1"/>
  <c r="C7" i="21"/>
  <c r="C7" i="13"/>
  <c r="O4" i="13" s="1"/>
  <c r="E5" i="7"/>
  <c r="C7" i="11"/>
  <c r="E5" i="11"/>
  <c r="C7" i="14"/>
  <c r="C7" i="7"/>
  <c r="E5" i="8"/>
  <c r="O4" i="8" s="1"/>
  <c r="E5" i="14"/>
  <c r="O4" i="21" l="1"/>
  <c r="O4" i="7"/>
  <c r="O4" i="14"/>
  <c r="O4" i="11"/>
</calcChain>
</file>

<file path=xl/sharedStrings.xml><?xml version="1.0" encoding="utf-8"?>
<sst xmlns="http://schemas.openxmlformats.org/spreadsheetml/2006/main" count="309" uniqueCount="103">
  <si>
    <t>選択モデル：</t>
    <rPh sb="0" eb="2">
      <t>センタク</t>
    </rPh>
    <phoneticPr fontId="2"/>
  </si>
  <si>
    <t>誤差の平方和</t>
    <rPh sb="0" eb="2">
      <t>ゴサ</t>
    </rPh>
    <rPh sb="3" eb="5">
      <t>ヘイホウ</t>
    </rPh>
    <rPh sb="5" eb="6">
      <t>ワ</t>
    </rPh>
    <phoneticPr fontId="2"/>
  </si>
  <si>
    <t>累積バグ数</t>
    <rPh sb="0" eb="2">
      <t>ルイセキ</t>
    </rPh>
    <rPh sb="4" eb="5">
      <t>スウ</t>
    </rPh>
    <phoneticPr fontId="2"/>
  </si>
  <si>
    <t>累積バグ数
Y</t>
    <rPh sb="0" eb="2">
      <t>ルイセキ</t>
    </rPh>
    <rPh sb="4" eb="5">
      <t>スウ</t>
    </rPh>
    <phoneticPr fontId="2"/>
  </si>
  <si>
    <t>誤差
(Yi-yi)</t>
    <rPh sb="0" eb="2">
      <t>ゴサ</t>
    </rPh>
    <phoneticPr fontId="2"/>
  </si>
  <si>
    <t>誤差の二乗
(Yi-yi)^2</t>
    <rPh sb="0" eb="2">
      <t>ゴサ</t>
    </rPh>
    <rPh sb="3" eb="5">
      <t>ジジョウ</t>
    </rPh>
    <phoneticPr fontId="2"/>
  </si>
  <si>
    <t>誤差の平方和（最小にする）</t>
    <rPh sb="0" eb="2">
      <t>ゴサ</t>
    </rPh>
    <rPh sb="3" eb="5">
      <t>ヘイホウ</t>
    </rPh>
    <rPh sb="5" eb="6">
      <t>ワ</t>
    </rPh>
    <rPh sb="7" eb="9">
      <t>サイショウ</t>
    </rPh>
    <phoneticPr fontId="2"/>
  </si>
  <si>
    <t>95%到達時間</t>
    <rPh sb="3" eb="5">
      <t>トウタツ</t>
    </rPh>
    <rPh sb="5" eb="7">
      <t>ジカン</t>
    </rPh>
    <phoneticPr fontId="2"/>
  </si>
  <si>
    <t>99%到達時間</t>
    <rPh sb="3" eb="5">
      <t>トウタツ</t>
    </rPh>
    <rPh sb="5" eb="7">
      <t>ジカン</t>
    </rPh>
    <phoneticPr fontId="2"/>
  </si>
  <si>
    <t>時間</t>
    <rPh sb="0" eb="2">
      <t>ジカン</t>
    </rPh>
    <phoneticPr fontId="2"/>
  </si>
  <si>
    <t>↑自動算出</t>
    <rPh sb="1" eb="3">
      <t>ジドウ</t>
    </rPh>
    <rPh sb="3" eb="5">
      <t>サンシュツ</t>
    </rPh>
    <phoneticPr fontId="2"/>
  </si>
  <si>
    <t>a</t>
    <phoneticPr fontId="2"/>
  </si>
  <si>
    <t>b</t>
    <phoneticPr fontId="2"/>
  </si>
  <si>
    <t>c</t>
    <phoneticPr fontId="2"/>
  </si>
  <si>
    <t>ロジスティック</t>
    <phoneticPr fontId="2"/>
  </si>
  <si>
    <t>累積時間</t>
    <rPh sb="0" eb="2">
      <t>ルイセキ</t>
    </rPh>
    <rPh sb="2" eb="4">
      <t>ジカン</t>
    </rPh>
    <phoneticPr fontId="2"/>
  </si>
  <si>
    <t>バグ発見数</t>
    <rPh sb="2" eb="4">
      <t>ハッケン</t>
    </rPh>
    <rPh sb="4" eb="5">
      <t>スウ</t>
    </rPh>
    <phoneticPr fontId="2"/>
  </si>
  <si>
    <t>件数</t>
    <rPh sb="0" eb="2">
      <t>ケンスウ</t>
    </rPh>
    <phoneticPr fontId="2"/>
  </si>
  <si>
    <t>累積</t>
    <rPh sb="0" eb="2">
      <t>ルイセキ</t>
    </rPh>
    <phoneticPr fontId="2"/>
  </si>
  <si>
    <t>テスト項目数</t>
    <rPh sb="3" eb="6">
      <t>コウモクスウ</t>
    </rPh>
    <phoneticPr fontId="2"/>
  </si>
  <si>
    <t>個数</t>
    <rPh sb="0" eb="2">
      <t>コスウ</t>
    </rPh>
    <phoneticPr fontId="2"/>
  </si>
  <si>
    <t>バグ修正数</t>
    <rPh sb="2" eb="4">
      <t>シュウセイ</t>
    </rPh>
    <rPh sb="4" eb="5">
      <t>スウ</t>
    </rPh>
    <phoneticPr fontId="2"/>
  </si>
  <si>
    <t>・概要</t>
    <rPh sb="1" eb="3">
      <t>ガイヨウ</t>
    </rPh>
    <phoneticPr fontId="2"/>
  </si>
  <si>
    <t>No.</t>
    <phoneticPr fontId="2"/>
  </si>
  <si>
    <t>コメント</t>
    <phoneticPr fontId="2"/>
  </si>
  <si>
    <t>AIC</t>
    <phoneticPr fontId="2"/>
  </si>
  <si>
    <t>a</t>
    <phoneticPr fontId="2"/>
  </si>
  <si>
    <t>b</t>
    <phoneticPr fontId="2"/>
  </si>
  <si>
    <t>c</t>
    <phoneticPr fontId="2"/>
  </si>
  <si>
    <t>推定障害除去率</t>
    <rPh sb="0" eb="2">
      <t>スイテイ</t>
    </rPh>
    <rPh sb="2" eb="4">
      <t>ショウガイ</t>
    </rPh>
    <rPh sb="4" eb="6">
      <t>ジョキョ</t>
    </rPh>
    <rPh sb="6" eb="7">
      <t>リツ</t>
    </rPh>
    <phoneticPr fontId="2"/>
  </si>
  <si>
    <t>データ個数</t>
    <rPh sb="3" eb="5">
      <t>コスウ</t>
    </rPh>
    <phoneticPr fontId="2"/>
  </si>
  <si>
    <t>ゴンペルツ</t>
    <phoneticPr fontId="2"/>
  </si>
  <si>
    <t>・算出方法</t>
    <rPh sb="1" eb="3">
      <t>サンシュツ</t>
    </rPh>
    <rPh sb="3" eb="5">
      <t>ホウホウ</t>
    </rPh>
    <phoneticPr fontId="2"/>
  </si>
  <si>
    <t>各モデルで計算を行い、計算終了後にAICが最小となるモデルを選択します。</t>
    <rPh sb="0" eb="1">
      <t>カク</t>
    </rPh>
    <rPh sb="5" eb="7">
      <t>ケイサン</t>
    </rPh>
    <rPh sb="8" eb="9">
      <t>オコナ</t>
    </rPh>
    <rPh sb="11" eb="13">
      <t>ケイサン</t>
    </rPh>
    <rPh sb="13" eb="16">
      <t>シュウリョウゴ</t>
    </rPh>
    <rPh sb="21" eb="23">
      <t>サイショウ</t>
    </rPh>
    <rPh sb="30" eb="32">
      <t>センタク</t>
    </rPh>
    <phoneticPr fontId="2"/>
  </si>
  <si>
    <t>モデル
予測値</t>
    <rPh sb="4" eb="7">
      <t>ヨソクチ</t>
    </rPh>
    <phoneticPr fontId="2"/>
  </si>
  <si>
    <t>95%到達</t>
    <rPh sb="3" eb="5">
      <t>トウタツ</t>
    </rPh>
    <phoneticPr fontId="2"/>
  </si>
  <si>
    <t>99%到達</t>
    <rPh sb="3" eb="5">
      <t>トウタツ</t>
    </rPh>
    <phoneticPr fontId="2"/>
  </si>
  <si>
    <t>※グラフを書く為以下の項目は自動生成</t>
    <rPh sb="5" eb="6">
      <t>カ</t>
    </rPh>
    <rPh sb="7" eb="8">
      <t>タメ</t>
    </rPh>
    <rPh sb="8" eb="10">
      <t>イカ</t>
    </rPh>
    <rPh sb="11" eb="13">
      <t>コウモク</t>
    </rPh>
    <rPh sb="14" eb="16">
      <t>ジドウ</t>
    </rPh>
    <rPh sb="16" eb="18">
      <t>セイセイ</t>
    </rPh>
    <phoneticPr fontId="2"/>
  </si>
  <si>
    <t>↓求めたモデルから算出（現在時間のモデルから算出した除去数/モデルの飽和数となる）。</t>
    <rPh sb="1" eb="2">
      <t>モト</t>
    </rPh>
    <rPh sb="9" eb="11">
      <t>サンシュツ</t>
    </rPh>
    <rPh sb="12" eb="14">
      <t>ゲンザイ</t>
    </rPh>
    <rPh sb="14" eb="16">
      <t>ジカン</t>
    </rPh>
    <rPh sb="22" eb="24">
      <t>サンシュツ</t>
    </rPh>
    <rPh sb="26" eb="28">
      <t>ジョキョ</t>
    </rPh>
    <rPh sb="28" eb="29">
      <t>スウ</t>
    </rPh>
    <rPh sb="34" eb="36">
      <t>ホウワ</t>
    </rPh>
    <rPh sb="36" eb="37">
      <t>スウ</t>
    </rPh>
    <phoneticPr fontId="2"/>
  </si>
  <si>
    <t>残存障害数予測</t>
    <phoneticPr fontId="2"/>
  </si>
  <si>
    <t>推定障害除去率、残存障害数予測の計算方法を変更。現在の発見バグ数と飽和値を用いる事とした。</t>
    <rPh sb="16" eb="18">
      <t>ケイサン</t>
    </rPh>
    <rPh sb="18" eb="20">
      <t>ホウホウ</t>
    </rPh>
    <rPh sb="21" eb="23">
      <t>ヘンコウ</t>
    </rPh>
    <rPh sb="24" eb="26">
      <t>ゲンザイ</t>
    </rPh>
    <rPh sb="27" eb="29">
      <t>ハッケン</t>
    </rPh>
    <rPh sb="31" eb="32">
      <t>スウ</t>
    </rPh>
    <rPh sb="33" eb="35">
      <t>ホウワ</t>
    </rPh>
    <rPh sb="35" eb="36">
      <t>アタイ</t>
    </rPh>
    <rPh sb="37" eb="38">
      <t>モチ</t>
    </rPh>
    <rPh sb="40" eb="41">
      <t>コト</t>
    </rPh>
    <phoneticPr fontId="2"/>
  </si>
  <si>
    <t>-</t>
    <phoneticPr fontId="2"/>
  </si>
  <si>
    <t>グラフの名前と軸を調整</t>
    <rPh sb="4" eb="6">
      <t>ナマエ</t>
    </rPh>
    <rPh sb="7" eb="8">
      <t>ジク</t>
    </rPh>
    <rPh sb="9" eb="11">
      <t>チョウセイ</t>
    </rPh>
    <phoneticPr fontId="2"/>
  </si>
  <si>
    <t>Excel2013対応</t>
    <rPh sb="9" eb="11">
      <t>タイオウ</t>
    </rPh>
    <phoneticPr fontId="2"/>
  </si>
  <si>
    <t>消化項目数</t>
    <rPh sb="0" eb="2">
      <t>ショウカ</t>
    </rPh>
    <rPh sb="2" eb="4">
      <t>コウモク</t>
    </rPh>
    <rPh sb="4" eb="5">
      <t>スウ</t>
    </rPh>
    <phoneticPr fontId="2"/>
  </si>
  <si>
    <t>時間or消化数</t>
    <rPh sb="0" eb="2">
      <t>ジカン</t>
    </rPh>
    <rPh sb="4" eb="6">
      <t>ショウカ</t>
    </rPh>
    <rPh sb="6" eb="7">
      <t>スウ</t>
    </rPh>
    <phoneticPr fontId="2"/>
  </si>
  <si>
    <t>Date</t>
  </si>
  <si>
    <t>SRGM Tool ソフトウェア信頼度成長評価 ツール</t>
    <rPh sb="16" eb="19">
      <t>シンライド</t>
    </rPh>
    <rPh sb="19" eb="21">
      <t>セイチョウ</t>
    </rPh>
    <rPh sb="21" eb="23">
      <t>ヒョウカ</t>
    </rPh>
    <phoneticPr fontId="2"/>
  </si>
  <si>
    <t>1st</t>
    <phoneticPr fontId="2"/>
  </si>
  <si>
    <t>2011/1/27</t>
    <phoneticPr fontId="2"/>
  </si>
  <si>
    <t>2017/6/27</t>
    <phoneticPr fontId="2"/>
  </si>
  <si>
    <t>2019/5/29</t>
    <phoneticPr fontId="2"/>
  </si>
  <si>
    <t>2019/11/21</t>
    <phoneticPr fontId="2"/>
  </si>
  <si>
    <t>求めたモデルから飽和数と現在の時間におけるモデルから算出した障害数を用いた計算に変更。</t>
    <rPh sb="0" eb="1">
      <t>モト</t>
    </rPh>
    <rPh sb="8" eb="10">
      <t>ホウワ</t>
    </rPh>
    <rPh sb="10" eb="11">
      <t>スウ</t>
    </rPh>
    <rPh sb="12" eb="14">
      <t>ゲンザイ</t>
    </rPh>
    <rPh sb="15" eb="17">
      <t>ジカン</t>
    </rPh>
    <rPh sb="26" eb="28">
      <t>サンシュツ</t>
    </rPh>
    <rPh sb="30" eb="32">
      <t>ショウガイ</t>
    </rPh>
    <rPh sb="32" eb="33">
      <t>スウ</t>
    </rPh>
    <rPh sb="34" eb="35">
      <t>モチ</t>
    </rPh>
    <rPh sb="37" eb="39">
      <t>ケイサン</t>
    </rPh>
    <rPh sb="40" eb="42">
      <t>ヘンコウ</t>
    </rPh>
    <phoneticPr fontId="2"/>
  </si>
  <si>
    <t>AICの計算式変更</t>
    <rPh sb="4" eb="6">
      <t>ケイサン</t>
    </rPh>
    <rPh sb="6" eb="7">
      <t>シキ</t>
    </rPh>
    <rPh sb="7" eb="9">
      <t>ヘンコウ</t>
    </rPh>
    <phoneticPr fontId="2"/>
  </si>
  <si>
    <t>Description</t>
    <phoneticPr fontId="2"/>
  </si>
  <si>
    <t>検証時間/消化項目数と発見障害数からソフトウェア信頼度成長モデルに当てはめて信頼度成長曲線を作成するツールです。</t>
    <rPh sb="0" eb="2">
      <t>ケンショウ</t>
    </rPh>
    <rPh sb="2" eb="4">
      <t>ジカン</t>
    </rPh>
    <rPh sb="5" eb="7">
      <t>ショウカ</t>
    </rPh>
    <rPh sb="7" eb="10">
      <t>コウモクスウ</t>
    </rPh>
    <rPh sb="11" eb="13">
      <t>ハッケン</t>
    </rPh>
    <rPh sb="13" eb="15">
      <t>ショウガイ</t>
    </rPh>
    <rPh sb="15" eb="16">
      <t>スウ</t>
    </rPh>
    <rPh sb="24" eb="27">
      <t>シンライド</t>
    </rPh>
    <rPh sb="27" eb="29">
      <t>セイチョウ</t>
    </rPh>
    <rPh sb="33" eb="34">
      <t>ア</t>
    </rPh>
    <phoneticPr fontId="2"/>
  </si>
  <si>
    <t>Rev</t>
    <phoneticPr fontId="2"/>
  </si>
  <si>
    <t>検証時間orテスト消化項目数</t>
    <rPh sb="0" eb="2">
      <t>ケンショウ</t>
    </rPh>
    <rPh sb="2" eb="4">
      <t>ジカン</t>
    </rPh>
    <rPh sb="9" eb="11">
      <t>ショウカ</t>
    </rPh>
    <rPh sb="11" eb="14">
      <t>コウモクスウ</t>
    </rPh>
    <phoneticPr fontId="2"/>
  </si>
  <si>
    <t>・更新履歴</t>
    <rPh sb="1" eb="3">
      <t>コウシン</t>
    </rPh>
    <rPh sb="3" eb="5">
      <t>リレキ</t>
    </rPh>
    <phoneticPr fontId="2"/>
  </si>
  <si>
    <t>・使用方法</t>
    <rPh sb="1" eb="3">
      <t>シヨウ</t>
    </rPh>
    <rPh sb="3" eb="5">
      <t>ホウホウ</t>
    </rPh>
    <phoneticPr fontId="2"/>
  </si>
  <si>
    <t>パラメータ数：</t>
    <rPh sb="5" eb="6">
      <t>スウ</t>
    </rPh>
    <phoneticPr fontId="2"/>
  </si>
  <si>
    <t>Author</t>
    <phoneticPr fontId="2"/>
  </si>
  <si>
    <t>tomi</t>
    <phoneticPr fontId="2"/>
  </si>
  <si>
    <t>選択基準（赤池情報量基準（AIC)が最小になるモデルを選択）</t>
    <rPh sb="0" eb="2">
      <t>センタク</t>
    </rPh>
    <rPh sb="2" eb="4">
      <t>キジュン</t>
    </rPh>
    <phoneticPr fontId="2"/>
  </si>
  <si>
    <t>2.Calcボタンをクリックしてください。</t>
    <phoneticPr fontId="2"/>
  </si>
  <si>
    <t>累積</t>
    <rPh sb="0" eb="2">
      <t>ルイセキ</t>
    </rPh>
    <phoneticPr fontId="2"/>
  </si>
  <si>
    <t>検証時間毎/テスト消化項目数毎</t>
    <rPh sb="0" eb="2">
      <t>ケンショウ</t>
    </rPh>
    <rPh sb="2" eb="4">
      <t>ジカン</t>
    </rPh>
    <rPh sb="4" eb="5">
      <t>マイ</t>
    </rPh>
    <rPh sb="9" eb="11">
      <t>ショウカ</t>
    </rPh>
    <rPh sb="11" eb="14">
      <t>コウモクスウ</t>
    </rPh>
    <rPh sb="14" eb="15">
      <t>マイ</t>
    </rPh>
    <phoneticPr fontId="2"/>
  </si>
  <si>
    <t>1.「データ入力」シートの検証時間/消化項目毎の発見バグ数を入力してください。</t>
    <rPh sb="6" eb="8">
      <t>ニュウリョク</t>
    </rPh>
    <rPh sb="13" eb="15">
      <t>ケンショウ</t>
    </rPh>
    <rPh sb="15" eb="17">
      <t>ジカン</t>
    </rPh>
    <rPh sb="18" eb="20">
      <t>ショウカ</t>
    </rPh>
    <rPh sb="20" eb="22">
      <t>コウモク</t>
    </rPh>
    <rPh sb="22" eb="23">
      <t>マイ</t>
    </rPh>
    <rPh sb="24" eb="26">
      <t>ハッケン</t>
    </rPh>
    <rPh sb="28" eb="29">
      <t>スウ</t>
    </rPh>
    <rPh sb="30" eb="32">
      <t>ニュウリョク</t>
    </rPh>
    <phoneticPr fontId="2"/>
  </si>
  <si>
    <t>tomi</t>
    <phoneticPr fontId="2"/>
  </si>
  <si>
    <t>最小化後に各モデルからAIC(Akaike Informain Criterion：赤池情報量基準）を求め、最適なモデルを選択します。</t>
    <rPh sb="0" eb="3">
      <t>サイショウカ</t>
    </rPh>
    <rPh sb="3" eb="4">
      <t>アト</t>
    </rPh>
    <rPh sb="5" eb="6">
      <t>カク</t>
    </rPh>
    <rPh sb="42" eb="44">
      <t>アカイケ</t>
    </rPh>
    <rPh sb="44" eb="46">
      <t>ジョウホウ</t>
    </rPh>
    <rPh sb="46" eb="47">
      <t>リョウ</t>
    </rPh>
    <rPh sb="47" eb="49">
      <t>キジュン</t>
    </rPh>
    <rPh sb="51" eb="52">
      <t>モト</t>
    </rPh>
    <rPh sb="54" eb="56">
      <t>サイテキ</t>
    </rPh>
    <rPh sb="61" eb="63">
      <t>センタク</t>
    </rPh>
    <phoneticPr fontId="2"/>
  </si>
  <si>
    <t>検証時間/消化項目の累積と発見バグ数を各モデルにフィッティングさせパラメータを推定します。</t>
    <rPh sb="10" eb="12">
      <t>ルイセキ</t>
    </rPh>
    <rPh sb="13" eb="15">
      <t>ハッケン</t>
    </rPh>
    <rPh sb="17" eb="18">
      <t>スウ</t>
    </rPh>
    <rPh sb="19" eb="20">
      <t>カク</t>
    </rPh>
    <rPh sb="39" eb="41">
      <t>スイテイ</t>
    </rPh>
    <phoneticPr fontId="2"/>
  </si>
  <si>
    <t>フィッティングにはデータとモデルの残差平方和を評価関数とした制約なしの非線形最適化問題としてエクセルのソルバー機能を用いて最小化します。</t>
    <rPh sb="35" eb="38">
      <t>ヒセンケイ</t>
    </rPh>
    <rPh sb="55" eb="57">
      <t>キノウ</t>
    </rPh>
    <rPh sb="58" eb="59">
      <t>モチ</t>
    </rPh>
    <rPh sb="61" eb="64">
      <t>サイショウカ</t>
    </rPh>
    <phoneticPr fontId="2"/>
  </si>
  <si>
    <t>検証1日目</t>
    <rPh sb="0" eb="2">
      <t>ケンショウ</t>
    </rPh>
    <rPh sb="3" eb="4">
      <t>ニチ</t>
    </rPh>
    <rPh sb="4" eb="5">
      <t>メ</t>
    </rPh>
    <phoneticPr fontId="1"/>
  </si>
  <si>
    <t>検証2日目</t>
    <rPh sb="0" eb="2">
      <t>ケンショウ</t>
    </rPh>
    <rPh sb="3" eb="4">
      <t>ニチ</t>
    </rPh>
    <rPh sb="4" eb="5">
      <t>メ</t>
    </rPh>
    <phoneticPr fontId="1"/>
  </si>
  <si>
    <t>検証3日目</t>
    <rPh sb="0" eb="2">
      <t>ケンショウ</t>
    </rPh>
    <rPh sb="3" eb="4">
      <t>ニチ</t>
    </rPh>
    <rPh sb="4" eb="5">
      <t>メ</t>
    </rPh>
    <phoneticPr fontId="1"/>
  </si>
  <si>
    <t>検証4日目</t>
    <rPh sb="0" eb="2">
      <t>ケンショウ</t>
    </rPh>
    <rPh sb="3" eb="4">
      <t>ニチ</t>
    </rPh>
    <rPh sb="4" eb="5">
      <t>メ</t>
    </rPh>
    <phoneticPr fontId="1"/>
  </si>
  <si>
    <t>検証5日目</t>
    <rPh sb="0" eb="2">
      <t>ケンショウ</t>
    </rPh>
    <rPh sb="3" eb="4">
      <t>ニチ</t>
    </rPh>
    <rPh sb="4" eb="5">
      <t>メ</t>
    </rPh>
    <phoneticPr fontId="1"/>
  </si>
  <si>
    <t>検証6日目</t>
    <rPh sb="0" eb="2">
      <t>ケンショウ</t>
    </rPh>
    <rPh sb="3" eb="4">
      <t>ニチ</t>
    </rPh>
    <rPh sb="4" eb="5">
      <t>メ</t>
    </rPh>
    <phoneticPr fontId="1"/>
  </si>
  <si>
    <t>検証7日目</t>
    <rPh sb="0" eb="2">
      <t>ケンショウ</t>
    </rPh>
    <rPh sb="3" eb="4">
      <t>ニチ</t>
    </rPh>
    <rPh sb="4" eb="5">
      <t>メ</t>
    </rPh>
    <phoneticPr fontId="1"/>
  </si>
  <si>
    <t>検証8日目</t>
    <rPh sb="0" eb="2">
      <t>ケンショウ</t>
    </rPh>
    <rPh sb="3" eb="4">
      <t>ニチ</t>
    </rPh>
    <rPh sb="4" eb="5">
      <t>メ</t>
    </rPh>
    <phoneticPr fontId="1"/>
  </si>
  <si>
    <t>↓ここを入力</t>
    <rPh sb="4" eb="6">
      <t>ニュウリョク</t>
    </rPh>
    <phoneticPr fontId="2"/>
  </si>
  <si>
    <t>指数一般化, Goel</t>
    <rPh sb="0" eb="2">
      <t>シスウ</t>
    </rPh>
    <rPh sb="2" eb="5">
      <t>イッパンカ</t>
    </rPh>
    <phoneticPr fontId="2"/>
  </si>
  <si>
    <t>習熟S字型モデル（3変数）</t>
    <rPh sb="0" eb="2">
      <t>シュウジュク</t>
    </rPh>
    <rPh sb="3" eb="4">
      <t>ジ</t>
    </rPh>
    <rPh sb="4" eb="5">
      <t>ガタ</t>
    </rPh>
    <rPh sb="10" eb="12">
      <t>ヘンスウ</t>
    </rPh>
    <phoneticPr fontId="2"/>
  </si>
  <si>
    <t>習熟S字型モデル</t>
    <rPh sb="0" eb="2">
      <t>シュウジュク</t>
    </rPh>
    <rPh sb="3" eb="4">
      <t>ジ</t>
    </rPh>
    <rPh sb="4" eb="5">
      <t>ガタ</t>
    </rPh>
    <phoneticPr fontId="2"/>
  </si>
  <si>
    <t>修正指数型モデル</t>
    <rPh sb="0" eb="5">
      <t>シュウセイシスウガタ</t>
    </rPh>
    <phoneticPr fontId="2"/>
  </si>
  <si>
    <t>指数型(Goel-Okumotoモデル)</t>
    <rPh sb="0" eb="2">
      <t>シスウ</t>
    </rPh>
    <rPh sb="2" eb="3">
      <t>ガタ</t>
    </rPh>
    <phoneticPr fontId="2"/>
  </si>
  <si>
    <t>他モデル追加</t>
    <rPh sb="0" eb="1">
      <t>ホカ</t>
    </rPh>
    <rPh sb="4" eb="6">
      <t>ツイカ</t>
    </rPh>
    <phoneticPr fontId="2"/>
  </si>
  <si>
    <t>tomi</t>
    <phoneticPr fontId="2"/>
  </si>
  <si>
    <t>※y=x e^xの逆関数はランベルトW関数を含むので二分法で求める</t>
    <rPh sb="9" eb="12">
      <t>ギャクカンスウ</t>
    </rPh>
    <rPh sb="19" eb="21">
      <t>カンスウ</t>
    </rPh>
    <rPh sb="22" eb="23">
      <t>フク</t>
    </rPh>
    <rPh sb="26" eb="29">
      <t>ニブンホウ</t>
    </rPh>
    <rPh sb="30" eb="31">
      <t>モト</t>
    </rPh>
    <phoneticPr fontId="2"/>
  </si>
  <si>
    <t>採用モデルは、ゴンペルツ、ロジスティック、指数、指数一般化、修正指数、習熟S字、習熟S字（3変数）、遅延S字を扱います。</t>
    <rPh sb="0" eb="2">
      <t>サイヨウ</t>
    </rPh>
    <rPh sb="24" eb="26">
      <t>シスウ</t>
    </rPh>
    <rPh sb="26" eb="29">
      <t>イッパンカ</t>
    </rPh>
    <rPh sb="30" eb="34">
      <t>シュウセイシスウ</t>
    </rPh>
    <rPh sb="40" eb="42">
      <t>シュウジュク</t>
    </rPh>
    <rPh sb="43" eb="44">
      <t>ジ</t>
    </rPh>
    <rPh sb="46" eb="48">
      <t>ヘンスウ</t>
    </rPh>
    <rPh sb="55" eb="56">
      <t>アツカ</t>
    </rPh>
    <phoneticPr fontId="2"/>
  </si>
  <si>
    <t>指数モデルの一般化（３変数）、習熟S字（３変数）、修正指数を追加</t>
    <rPh sb="0" eb="2">
      <t>シスウ</t>
    </rPh>
    <rPh sb="6" eb="9">
      <t>イッパンカ</t>
    </rPh>
    <rPh sb="11" eb="13">
      <t>ヘンスウ</t>
    </rPh>
    <rPh sb="15" eb="17">
      <t>シュウジュク</t>
    </rPh>
    <rPh sb="18" eb="19">
      <t>ジ</t>
    </rPh>
    <rPh sb="21" eb="23">
      <t>ヘンスウ</t>
    </rPh>
    <rPh sb="25" eb="29">
      <t>シュウセイシスウ</t>
    </rPh>
    <rPh sb="30" eb="32">
      <t>ツイカ</t>
    </rPh>
    <phoneticPr fontId="2"/>
  </si>
  <si>
    <t>tomi</t>
    <phoneticPr fontId="2"/>
  </si>
  <si>
    <t>↓パラメータ a,β1,γ1,β2,γ2</t>
    <phoneticPr fontId="2"/>
  </si>
  <si>
    <t>※ソルバー制約条件（書き換えない）</t>
    <rPh sb="5" eb="9">
      <t>セイヤクジョウケン</t>
    </rPh>
    <rPh sb="10" eb="11">
      <t>カ</t>
    </rPh>
    <rPh sb="12" eb="13">
      <t>カ</t>
    </rPh>
    <phoneticPr fontId="2"/>
  </si>
  <si>
    <t>←b1+b2=1</t>
    <phoneticPr fontId="2"/>
  </si>
  <si>
    <t>※制約条件のための計算式</t>
    <rPh sb="1" eb="5">
      <t>セイヤクジョウケン</t>
    </rPh>
    <rPh sb="9" eb="12">
      <t>ケイサンシキ</t>
    </rPh>
    <phoneticPr fontId="2"/>
  </si>
  <si>
    <t>初期値の乱数化、再選択ボタンを追加</t>
    <rPh sb="0" eb="3">
      <t>ショキチ</t>
    </rPh>
    <rPh sb="4" eb="6">
      <t>ランスウ</t>
    </rPh>
    <rPh sb="6" eb="7">
      <t>バ</t>
    </rPh>
    <rPh sb="8" eb="11">
      <t>サイセンタク</t>
    </rPh>
    <rPh sb="15" eb="17">
      <t>ツイカ</t>
    </rPh>
    <phoneticPr fontId="2"/>
  </si>
  <si>
    <t>tomi</t>
    <phoneticPr fontId="2"/>
  </si>
  <si>
    <t>-</t>
    <phoneticPr fontId="2"/>
  </si>
  <si>
    <t>1.0</t>
    <phoneticPr fontId="2"/>
  </si>
  <si>
    <t>コード整理</t>
    <rPh sb="3" eb="5">
      <t>セイリ</t>
    </rPh>
    <phoneticPr fontId="2"/>
  </si>
  <si>
    <t>ReSelectボタンでAICを元にモデルを再選択します。</t>
    <rPh sb="16" eb="17">
      <t>モト</t>
    </rPh>
    <rPh sb="22" eb="25">
      <t>サイセンタク</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</si>
</sst>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_ "/>
    <numFmt numFmtId="177" formatCode="0.00_ "/>
    <numFmt numFmtId="178" formatCode="0.00000_ "/>
    <numFmt numFmtId="179" formatCode="0.0"/>
  </numFmts>
  <fonts count="6"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sz val="10"/>
      <name val="ＭＳ Ｐゴシック"/>
      <family val="3"/>
      <charset val="128"/>
    </font>
    <font>
      <b/>
      <sz val="14"/>
      <name val="ＭＳ Ｐゴシック"/>
      <family val="3"/>
      <charset val="128"/>
    </font>
    <font>
      <u/>
      <sz val="11"/>
      <name val="ＭＳ Ｐゴシック"/>
      <family val="3"/>
      <charset val="128"/>
    </font>
  </fonts>
  <fills count="6">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41"/>
        <bgColor indexed="64"/>
      </patternFill>
    </fill>
    <fill>
      <patternFill patternType="solid">
        <fgColor theme="5"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bottom/>
      <diagonal/>
    </border>
    <border>
      <left/>
      <right/>
      <top style="medium">
        <color indexed="64"/>
      </top>
      <bottom style="thin">
        <color indexed="64"/>
      </bottom>
      <diagonal/>
    </border>
  </borders>
  <cellStyleXfs count="2">
    <xf numFmtId="0" fontId="0" fillId="0" borderId="0"/>
    <xf numFmtId="0" fontId="1" fillId="0" borderId="0">
      <alignment vertical="center"/>
    </xf>
  </cellStyleXfs>
  <cellXfs count="66">
    <xf numFmtId="0" fontId="0" fillId="0" borderId="0" xfId="0"/>
    <xf numFmtId="0" fontId="0" fillId="0" borderId="0" xfId="0" applyAlignment="1">
      <alignment vertical="center"/>
    </xf>
    <xf numFmtId="0" fontId="0" fillId="0" borderId="1" xfId="0" applyBorder="1" applyAlignment="1">
      <alignment vertical="center"/>
    </xf>
    <xf numFmtId="176" fontId="0" fillId="0" borderId="1" xfId="0" applyNumberFormat="1" applyBorder="1" applyAlignment="1">
      <alignment vertical="center"/>
    </xf>
    <xf numFmtId="0" fontId="3" fillId="0" borderId="1" xfId="0" applyFont="1" applyBorder="1" applyAlignment="1">
      <alignment vertical="center"/>
    </xf>
    <xf numFmtId="0" fontId="0" fillId="0" borderId="0" xfId="0" applyBorder="1" applyAlignment="1">
      <alignment vertical="center"/>
    </xf>
    <xf numFmtId="0" fontId="0" fillId="0" borderId="1" xfId="0" applyBorder="1" applyAlignment="1">
      <alignment horizontal="center" vertical="center"/>
    </xf>
    <xf numFmtId="9" fontId="0" fillId="0" borderId="7" xfId="0" applyNumberFormat="1" applyBorder="1" applyAlignment="1">
      <alignment horizontal="center" vertical="center"/>
    </xf>
    <xf numFmtId="0" fontId="0" fillId="0" borderId="3" xfId="0" applyBorder="1" applyAlignment="1">
      <alignment horizontal="center" vertical="center"/>
    </xf>
    <xf numFmtId="9" fontId="0" fillId="0" borderId="3" xfId="0" applyNumberFormat="1" applyBorder="1" applyAlignment="1">
      <alignment horizontal="center" vertical="center"/>
    </xf>
    <xf numFmtId="0" fontId="0" fillId="0" borderId="8" xfId="0" applyBorder="1" applyAlignment="1">
      <alignment horizontal="center" vertical="center"/>
    </xf>
    <xf numFmtId="177" fontId="0" fillId="0" borderId="6" xfId="0" applyNumberFormat="1" applyBorder="1" applyAlignment="1">
      <alignment vertical="center"/>
    </xf>
    <xf numFmtId="177" fontId="0" fillId="0" borderId="2" xfId="0" applyNumberFormat="1" applyBorder="1" applyAlignment="1">
      <alignment vertical="center"/>
    </xf>
    <xf numFmtId="0" fontId="0" fillId="0" borderId="0" xfId="0" applyBorder="1" applyAlignment="1">
      <alignment horizontal="center" vertical="center"/>
    </xf>
    <xf numFmtId="0" fontId="0" fillId="0" borderId="1" xfId="0" applyFill="1" applyBorder="1" applyAlignment="1">
      <alignment horizontal="center" vertical="center"/>
    </xf>
    <xf numFmtId="0" fontId="0" fillId="0" borderId="0" xfId="0" applyFill="1" applyBorder="1" applyAlignment="1">
      <alignment vertical="center"/>
    </xf>
    <xf numFmtId="0" fontId="0" fillId="0" borderId="3" xfId="0" applyFill="1" applyBorder="1" applyAlignment="1">
      <alignment horizontal="center" vertical="center"/>
    </xf>
    <xf numFmtId="0" fontId="0" fillId="0" borderId="3" xfId="0" applyBorder="1" applyAlignment="1">
      <alignment horizontal="center" vertical="center" wrapText="1"/>
    </xf>
    <xf numFmtId="0" fontId="0" fillId="0" borderId="9" xfId="0" applyFill="1" applyBorder="1" applyAlignment="1">
      <alignment horizontal="center" vertical="center" wrapText="1"/>
    </xf>
    <xf numFmtId="0" fontId="0" fillId="2" borderId="2" xfId="0" applyFill="1" applyBorder="1" applyAlignment="1">
      <alignment vertical="center"/>
    </xf>
    <xf numFmtId="178" fontId="0" fillId="4" borderId="2" xfId="0" applyNumberFormat="1" applyFill="1" applyBorder="1" applyAlignment="1">
      <alignment vertical="center"/>
    </xf>
    <xf numFmtId="178" fontId="0" fillId="0" borderId="9" xfId="0" applyNumberFormat="1" applyFill="1" applyBorder="1" applyAlignment="1">
      <alignment vertical="center"/>
    </xf>
    <xf numFmtId="176" fontId="0" fillId="0" borderId="2" xfId="0" applyNumberFormat="1" applyBorder="1" applyAlignment="1">
      <alignment vertical="center"/>
    </xf>
    <xf numFmtId="176" fontId="0" fillId="0" borderId="6" xfId="0" applyNumberFormat="1" applyBorder="1" applyAlignment="1">
      <alignment vertical="center"/>
    </xf>
    <xf numFmtId="176" fontId="0" fillId="0" borderId="1" xfId="0" applyNumberFormat="1" applyBorder="1" applyAlignment="1">
      <alignment horizontal="right" vertical="center"/>
    </xf>
    <xf numFmtId="0" fontId="0" fillId="0" borderId="7" xfId="0" applyBorder="1" applyAlignment="1">
      <alignment horizontal="center" vertical="center" wrapText="1"/>
    </xf>
    <xf numFmtId="178" fontId="0" fillId="4" borderId="6" xfId="0" applyNumberFormat="1" applyFill="1" applyBorder="1" applyAlignment="1">
      <alignment vertical="center"/>
    </xf>
    <xf numFmtId="0" fontId="0" fillId="0" borderId="1" xfId="0" applyBorder="1" applyAlignment="1">
      <alignment vertical="center" wrapText="1"/>
    </xf>
    <xf numFmtId="0" fontId="4" fillId="0" borderId="0" xfId="0" applyFont="1" applyBorder="1" applyAlignment="1">
      <alignment vertical="center"/>
    </xf>
    <xf numFmtId="0" fontId="0" fillId="0" borderId="1" xfId="0" applyFill="1" applyBorder="1" applyAlignment="1">
      <alignment horizontal="right" vertical="center"/>
    </xf>
    <xf numFmtId="0" fontId="0" fillId="5" borderId="1" xfId="0" applyFill="1" applyBorder="1" applyAlignment="1">
      <alignment horizontal="center" vertical="center"/>
    </xf>
    <xf numFmtId="176" fontId="0" fillId="0" borderId="0" xfId="0" applyNumberFormat="1" applyFill="1" applyBorder="1" applyAlignment="1">
      <alignment vertical="center"/>
    </xf>
    <xf numFmtId="0" fontId="5" fillId="0" borderId="0" xfId="0" applyFont="1" applyAlignment="1">
      <alignment vertical="center"/>
    </xf>
    <xf numFmtId="0" fontId="0" fillId="0" borderId="0" xfId="0" applyFont="1" applyAlignment="1">
      <alignment vertical="center"/>
    </xf>
    <xf numFmtId="0" fontId="0" fillId="2" borderId="2" xfId="0" applyFont="1" applyFill="1" applyBorder="1" applyAlignment="1">
      <alignment vertical="center"/>
    </xf>
    <xf numFmtId="176" fontId="0" fillId="3" borderId="14" xfId="0" applyNumberFormat="1" applyFont="1" applyFill="1" applyBorder="1" applyAlignment="1">
      <alignment vertical="center"/>
    </xf>
    <xf numFmtId="176" fontId="0" fillId="2" borderId="1" xfId="0" applyNumberFormat="1" applyFont="1" applyFill="1" applyBorder="1" applyAlignment="1">
      <alignment vertical="center"/>
    </xf>
    <xf numFmtId="0" fontId="0" fillId="3" borderId="2" xfId="0" applyFont="1" applyFill="1" applyBorder="1" applyAlignment="1">
      <alignment vertical="center"/>
    </xf>
    <xf numFmtId="0" fontId="0" fillId="2" borderId="1" xfId="0" applyFont="1" applyFill="1" applyBorder="1" applyAlignment="1">
      <alignment vertical="center"/>
    </xf>
    <xf numFmtId="176" fontId="0" fillId="3" borderId="1" xfId="0" applyNumberFormat="1" applyFont="1" applyFill="1" applyBorder="1" applyAlignment="1">
      <alignment vertical="center"/>
    </xf>
    <xf numFmtId="0" fontId="0" fillId="3" borderId="1" xfId="0" applyFont="1" applyFill="1" applyBorder="1" applyAlignment="1">
      <alignment vertical="center"/>
    </xf>
    <xf numFmtId="0" fontId="0" fillId="0" borderId="1" xfId="0" applyFont="1" applyBorder="1" applyAlignment="1">
      <alignment vertical="center"/>
    </xf>
    <xf numFmtId="0" fontId="0" fillId="0" borderId="1" xfId="0" applyFont="1" applyFill="1" applyBorder="1" applyAlignment="1">
      <alignment vertical="center"/>
    </xf>
    <xf numFmtId="0" fontId="0" fillId="3" borderId="10" xfId="0" applyFont="1" applyFill="1" applyBorder="1" applyAlignment="1">
      <alignment vertical="center"/>
    </xf>
    <xf numFmtId="0" fontId="0" fillId="3" borderId="5" xfId="0" applyFont="1" applyFill="1" applyBorder="1" applyAlignment="1">
      <alignment vertical="center"/>
    </xf>
    <xf numFmtId="0" fontId="0" fillId="3" borderId="4" xfId="0" applyFont="1" applyFill="1" applyBorder="1" applyAlignment="1">
      <alignment vertical="center"/>
    </xf>
    <xf numFmtId="0" fontId="0" fillId="3" borderId="11" xfId="0" applyFont="1" applyFill="1" applyBorder="1" applyAlignment="1">
      <alignment vertical="center"/>
    </xf>
    <xf numFmtId="0" fontId="0" fillId="3" borderId="3" xfId="0" applyFont="1" applyFill="1" applyBorder="1" applyAlignment="1">
      <alignment vertical="center"/>
    </xf>
    <xf numFmtId="14" fontId="0" fillId="0" borderId="1" xfId="0" applyNumberFormat="1" applyFont="1" applyBorder="1" applyAlignment="1">
      <alignment vertical="center"/>
    </xf>
    <xf numFmtId="14" fontId="0" fillId="0" borderId="1" xfId="0" applyNumberFormat="1" applyFont="1" applyFill="1" applyBorder="1" applyAlignment="1">
      <alignment vertical="center"/>
    </xf>
    <xf numFmtId="14" fontId="0" fillId="0" borderId="5" xfId="0" applyNumberFormat="1" applyFont="1" applyBorder="1" applyAlignment="1">
      <alignment vertical="center"/>
    </xf>
    <xf numFmtId="14" fontId="0" fillId="0" borderId="5" xfId="0" applyNumberFormat="1" applyFont="1" applyFill="1" applyBorder="1" applyAlignment="1">
      <alignment vertical="center"/>
    </xf>
    <xf numFmtId="0" fontId="3" fillId="0" borderId="4" xfId="0" applyFont="1" applyBorder="1" applyAlignment="1">
      <alignment vertical="center"/>
    </xf>
    <xf numFmtId="179" fontId="0" fillId="0" borderId="1" xfId="0" applyNumberFormat="1" applyBorder="1" applyAlignment="1">
      <alignment vertical="center"/>
    </xf>
    <xf numFmtId="176" fontId="0" fillId="0" borderId="0" xfId="0" applyNumberFormat="1" applyBorder="1" applyAlignment="1">
      <alignment horizontal="right" vertical="center"/>
    </xf>
    <xf numFmtId="176" fontId="0" fillId="0" borderId="0" xfId="0" applyNumberFormat="1" applyAlignment="1">
      <alignment vertical="center"/>
    </xf>
    <xf numFmtId="14" fontId="0" fillId="0" borderId="1" xfId="0" quotePrefix="1" applyNumberFormat="1" applyBorder="1" applyAlignment="1">
      <alignment horizontal="right" vertical="center"/>
    </xf>
    <xf numFmtId="177" fontId="0" fillId="0" borderId="0" xfId="0" applyNumberFormat="1" applyAlignment="1">
      <alignment vertical="center"/>
    </xf>
    <xf numFmtId="0" fontId="0" fillId="0" borderId="1" xfId="0" quotePrefix="1" applyBorder="1" applyAlignment="1">
      <alignment vertical="center"/>
    </xf>
    <xf numFmtId="49" fontId="0" fillId="0" borderId="1" xfId="0" applyNumberFormat="1" applyBorder="1" applyAlignment="1">
      <alignment vertical="center"/>
    </xf>
    <xf numFmtId="0" fontId="0" fillId="0" borderId="1" xfId="0" quotePrefix="1" applyBorder="1" applyAlignment="1">
      <alignment horizontal="right" vertical="center"/>
    </xf>
    <xf numFmtId="0" fontId="0" fillId="0" borderId="8" xfId="0" applyBorder="1" applyAlignment="1">
      <alignment horizontal="left" vertical="center"/>
    </xf>
    <xf numFmtId="0" fontId="0" fillId="0" borderId="7" xfId="0" applyBorder="1" applyAlignment="1">
      <alignment horizontal="left" vertical="center"/>
    </xf>
    <xf numFmtId="178" fontId="0" fillId="0" borderId="12" xfId="0" applyNumberFormat="1" applyBorder="1" applyAlignment="1">
      <alignment vertical="center"/>
    </xf>
    <xf numFmtId="0" fontId="0" fillId="0" borderId="13" xfId="0" applyBorder="1" applyAlignment="1">
      <alignment vertical="center"/>
    </xf>
    <xf numFmtId="178" fontId="0" fillId="0" borderId="15" xfId="0" applyNumberFormat="1" applyBorder="1" applyAlignment="1">
      <alignment vertical="center"/>
    </xf>
  </cellXfs>
  <cellStyles count="2">
    <cellStyle name="標準" xfId="0" builtinId="0"/>
    <cellStyle name="標準 2" xfId="1" xr:uid="{BBC7E072-5D7D-46E4-BC96-BF1B0A8A68A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2833161985635"/>
          <c:y val="8.8235294117647065E-2"/>
          <c:w val="0.79136875976272048"/>
          <c:h val="0.70220588235294112"/>
        </c:manualLayout>
      </c:layout>
      <c:scatterChart>
        <c:scatterStyle val="lineMarker"/>
        <c:varyColors val="0"/>
        <c:ser>
          <c:idx val="0"/>
          <c:order val="0"/>
          <c:spPr>
            <a:ln w="25400">
              <a:solidFill>
                <a:srgbClr val="000080"/>
              </a:solidFill>
              <a:prstDash val="solid"/>
            </a:ln>
          </c:spPr>
          <c:marker>
            <c:symbol val="diamond"/>
            <c:size val="3"/>
            <c:spPr>
              <a:solidFill>
                <a:srgbClr val="000080"/>
              </a:solidFill>
              <a:ln>
                <a:solidFill>
                  <a:srgbClr val="000080"/>
                </a:solidFill>
                <a:prstDash val="solid"/>
              </a:ln>
            </c:spPr>
          </c:marker>
          <c:xVal>
            <c:strRef>
              <c:f>データ入力!$E$6:$E$105</c:f>
              <c:strCache>
                <c:ptCount val="8"/>
                <c:pt idx="0">
                  <c:v>0.0 </c:v>
                </c:pt>
                <c:pt idx="1">
                  <c:v>7.0 </c:v>
                </c:pt>
                <c:pt idx="2">
                  <c:v>14.0 </c:v>
                </c:pt>
                <c:pt idx="3">
                  <c:v>21.0 </c:v>
                </c:pt>
                <c:pt idx="4">
                  <c:v>28.0 </c:v>
                </c:pt>
                <c:pt idx="5">
                  <c:v>35.0 </c:v>
                </c:pt>
                <c:pt idx="6">
                  <c:v>42.0 </c:v>
                </c:pt>
                <c:pt idx="7">
                  <c:v>49.0 </c:v>
                </c:pt>
              </c:strCache>
            </c:strRef>
          </c:xVal>
          <c:yVal>
            <c:numRef>
              <c:f>データ入力!$G$6:$G$105</c:f>
              <c:numCache>
                <c:formatCode>0.0_ </c:formatCode>
                <c:ptCount val="100"/>
                <c:pt idx="0">
                  <c:v>1</c:v>
                </c:pt>
                <c:pt idx="1">
                  <c:v>67</c:v>
                </c:pt>
                <c:pt idx="2">
                  <c:v>81</c:v>
                </c:pt>
                <c:pt idx="3">
                  <c:v>99</c:v>
                </c:pt>
                <c:pt idx="4">
                  <c:v>117</c:v>
                </c:pt>
                <c:pt idx="5">
                  <c:v>132</c:v>
                </c:pt>
                <c:pt idx="6">
                  <c:v>147</c:v>
                </c:pt>
                <c:pt idx="7">
                  <c:v>166</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0"/>
          <c:extLst>
            <c:ext xmlns:c16="http://schemas.microsoft.com/office/drawing/2014/chart" uri="{C3380CC4-5D6E-409C-BE32-E72D297353CC}">
              <c16:uniqueId val="{00000000-8225-49B7-BD66-0DB8707A994A}"/>
            </c:ext>
          </c:extLst>
        </c:ser>
        <c:dLbls>
          <c:showLegendKey val="0"/>
          <c:showVal val="0"/>
          <c:showCatName val="0"/>
          <c:showSerName val="0"/>
          <c:showPercent val="0"/>
          <c:showBubbleSize val="0"/>
        </c:dLbls>
        <c:axId val="475927528"/>
        <c:axId val="475924392"/>
      </c:scatterChart>
      <c:valAx>
        <c:axId val="475927528"/>
        <c:scaling>
          <c:orientation val="minMax"/>
        </c:scaling>
        <c:delete val="0"/>
        <c:axPos val="b"/>
        <c:title>
          <c:tx>
            <c:rich>
              <a:bodyPr/>
              <a:lstStyle/>
              <a:p>
                <a:pPr>
                  <a:defRPr/>
                </a:pPr>
                <a:r>
                  <a:rPr lang="ja-JP"/>
                  <a:t>検証時間</a:t>
                </a:r>
                <a:r>
                  <a:rPr lang="en-US"/>
                  <a:t>or</a:t>
                </a:r>
                <a:r>
                  <a:rPr lang="ja-JP"/>
                  <a:t>テスト消化項目数</a:t>
                </a:r>
                <a:endParaRPr lang="en-US"/>
              </a:p>
            </c:rich>
          </c:tx>
          <c:layout>
            <c:manualLayout>
              <c:xMode val="edge"/>
              <c:yMode val="edge"/>
              <c:x val="0.33777781256382994"/>
              <c:y val="0.88866841984142753"/>
            </c:manualLayout>
          </c:layout>
          <c:overlay val="0"/>
          <c:spPr>
            <a:noFill/>
            <a:ln w="25400">
              <a:noFill/>
            </a:ln>
          </c:spPr>
        </c:title>
        <c:numFmt formatCode="0.0_ " sourceLinked="1"/>
        <c:majorTickMark val="in"/>
        <c:minorTickMark val="none"/>
        <c:tickLblPos val="nextTo"/>
        <c:spPr>
          <a:ln w="3175">
            <a:solidFill>
              <a:srgbClr val="000000"/>
            </a:solidFill>
            <a:prstDash val="solid"/>
          </a:ln>
        </c:spPr>
        <c:txPr>
          <a:bodyPr rot="0" vert="horz"/>
          <a:lstStyle/>
          <a:p>
            <a:pPr>
              <a:defRPr/>
            </a:pPr>
            <a:endParaRPr lang="ja-JP"/>
          </a:p>
        </c:txPr>
        <c:crossAx val="475924392"/>
        <c:crosses val="autoZero"/>
        <c:crossBetween val="midCat"/>
      </c:valAx>
      <c:valAx>
        <c:axId val="475924392"/>
        <c:scaling>
          <c:orientation val="minMax"/>
        </c:scaling>
        <c:delete val="0"/>
        <c:axPos val="l"/>
        <c:title>
          <c:tx>
            <c:rich>
              <a:bodyPr/>
              <a:lstStyle/>
              <a:p>
                <a:pPr>
                  <a:defRPr/>
                </a:pPr>
                <a:r>
                  <a:rPr lang="ja-JP"/>
                  <a:t>累積バグ数</a:t>
                </a:r>
              </a:p>
            </c:rich>
          </c:tx>
          <c:layout>
            <c:manualLayout>
              <c:xMode val="edge"/>
              <c:yMode val="edge"/>
              <c:x val="3.8369394412737963E-2"/>
              <c:y val="0.3235294117647059"/>
            </c:manualLayout>
          </c:layout>
          <c:overlay val="0"/>
          <c:spPr>
            <a:noFill/>
            <a:ln w="25400">
              <a:noFill/>
            </a:ln>
          </c:spPr>
        </c:title>
        <c:numFmt formatCode="0.0_ " sourceLinked="1"/>
        <c:majorTickMark val="in"/>
        <c:minorTickMark val="none"/>
        <c:tickLblPos val="nextTo"/>
        <c:spPr>
          <a:ln w="3175">
            <a:solidFill>
              <a:srgbClr val="000000"/>
            </a:solidFill>
            <a:prstDash val="solid"/>
          </a:ln>
        </c:spPr>
        <c:txPr>
          <a:bodyPr rot="0" vert="horz"/>
          <a:lstStyle/>
          <a:p>
            <a:pPr>
              <a:defRPr/>
            </a:pPr>
            <a:endParaRPr lang="ja-JP"/>
          </a:p>
        </c:txPr>
        <c:crossAx val="475927528"/>
        <c:crosses val="autoZero"/>
        <c:crossBetween val="midCat"/>
      </c:valAx>
      <c:spPr>
        <a:noFill/>
        <a:ln w="25400">
          <a:noFill/>
        </a:ln>
      </c:spPr>
    </c:plotArea>
    <c:plotVisOnly val="1"/>
    <c:dispBlanksAs val="gap"/>
    <c:showDLblsOverMax val="0"/>
  </c:chart>
  <c:spPr>
    <a:solidFill>
      <a:srgbClr val="FFFFFF"/>
    </a:solidFill>
    <a:ln w="6350">
      <a:noFill/>
    </a:ln>
  </c:spPr>
  <c:txPr>
    <a:bodyPr/>
    <a:lstStyle/>
    <a:p>
      <a:pPr>
        <a:defRPr sz="8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2833161985635"/>
          <c:y val="8.8235294117647065E-2"/>
          <c:w val="0.79136875976272048"/>
          <c:h val="0.70220588235294112"/>
        </c:manualLayout>
      </c:layout>
      <c:scatterChart>
        <c:scatterStyle val="lineMarker"/>
        <c:varyColors val="0"/>
        <c:ser>
          <c:idx val="0"/>
          <c:order val="0"/>
          <c:spPr>
            <a:ln w="25400">
              <a:solidFill>
                <a:srgbClr val="000080"/>
              </a:solidFill>
              <a:prstDash val="solid"/>
            </a:ln>
          </c:spPr>
          <c:marker>
            <c:symbol val="diamond"/>
            <c:size val="3"/>
            <c:spPr>
              <a:solidFill>
                <a:srgbClr val="000080"/>
              </a:solidFill>
              <a:ln>
                <a:solidFill>
                  <a:srgbClr val="000080"/>
                </a:solidFill>
                <a:prstDash val="solid"/>
              </a:ln>
            </c:spPr>
          </c:marker>
          <c:xVal>
            <c:strRef>
              <c:f>データ入力!$E$6:$E$75</c:f>
              <c:strCache>
                <c:ptCount val="8"/>
                <c:pt idx="0">
                  <c:v>0.0 </c:v>
                </c:pt>
                <c:pt idx="1">
                  <c:v>7.0 </c:v>
                </c:pt>
                <c:pt idx="2">
                  <c:v>14.0 </c:v>
                </c:pt>
                <c:pt idx="3">
                  <c:v>21.0 </c:v>
                </c:pt>
                <c:pt idx="4">
                  <c:v>28.0 </c:v>
                </c:pt>
                <c:pt idx="5">
                  <c:v>35.0 </c:v>
                </c:pt>
                <c:pt idx="6">
                  <c:v>42.0 </c:v>
                </c:pt>
                <c:pt idx="7">
                  <c:v>49.0 </c:v>
                </c:pt>
              </c:strCache>
            </c:strRef>
          </c:xVal>
          <c:yVal>
            <c:numRef>
              <c:f>データ入力!$F$6:$F$75</c:f>
              <c:numCache>
                <c:formatCode>General</c:formatCode>
                <c:ptCount val="70"/>
                <c:pt idx="0">
                  <c:v>1</c:v>
                </c:pt>
                <c:pt idx="1">
                  <c:v>66</c:v>
                </c:pt>
                <c:pt idx="2">
                  <c:v>14</c:v>
                </c:pt>
                <c:pt idx="3">
                  <c:v>18</c:v>
                </c:pt>
                <c:pt idx="4">
                  <c:v>18</c:v>
                </c:pt>
                <c:pt idx="5">
                  <c:v>15</c:v>
                </c:pt>
                <c:pt idx="6">
                  <c:v>15</c:v>
                </c:pt>
                <c:pt idx="7">
                  <c:v>19</c:v>
                </c:pt>
              </c:numCache>
            </c:numRef>
          </c:yVal>
          <c:smooth val="0"/>
          <c:extLst>
            <c:ext xmlns:c16="http://schemas.microsoft.com/office/drawing/2014/chart" uri="{C3380CC4-5D6E-409C-BE32-E72D297353CC}">
              <c16:uniqueId val="{00000000-60DE-4B4A-BDE5-DBBF2E31398E}"/>
            </c:ext>
          </c:extLst>
        </c:ser>
        <c:dLbls>
          <c:showLegendKey val="0"/>
          <c:showVal val="0"/>
          <c:showCatName val="0"/>
          <c:showSerName val="0"/>
          <c:showPercent val="0"/>
          <c:showBubbleSize val="0"/>
        </c:dLbls>
        <c:axId val="475932624"/>
        <c:axId val="475927920"/>
      </c:scatterChart>
      <c:valAx>
        <c:axId val="475932624"/>
        <c:scaling>
          <c:orientation val="minMax"/>
        </c:scaling>
        <c:delete val="0"/>
        <c:axPos val="b"/>
        <c:title>
          <c:tx>
            <c:rich>
              <a:bodyPr/>
              <a:lstStyle/>
              <a:p>
                <a:pPr>
                  <a:defRPr/>
                </a:pPr>
                <a:r>
                  <a:rPr lang="ja-JP"/>
                  <a:t>検証時間</a:t>
                </a:r>
                <a:r>
                  <a:rPr lang="en-US"/>
                  <a:t>or</a:t>
                </a:r>
                <a:r>
                  <a:rPr lang="ja-JP"/>
                  <a:t>テスト消化項目数</a:t>
                </a:r>
                <a:endParaRPr lang="en-US"/>
              </a:p>
            </c:rich>
          </c:tx>
          <c:layout>
            <c:manualLayout>
              <c:xMode val="edge"/>
              <c:yMode val="edge"/>
              <c:x val="0.46283082010365167"/>
              <c:y val="0.87867647058823528"/>
            </c:manualLayout>
          </c:layout>
          <c:overlay val="0"/>
          <c:spPr>
            <a:noFill/>
            <a:ln w="25400">
              <a:noFill/>
            </a:ln>
          </c:spPr>
        </c:title>
        <c:numFmt formatCode="0.0_ " sourceLinked="1"/>
        <c:majorTickMark val="in"/>
        <c:minorTickMark val="none"/>
        <c:tickLblPos val="nextTo"/>
        <c:spPr>
          <a:ln w="3175">
            <a:solidFill>
              <a:srgbClr val="000000"/>
            </a:solidFill>
            <a:prstDash val="solid"/>
          </a:ln>
        </c:spPr>
        <c:txPr>
          <a:bodyPr rot="0" vert="horz"/>
          <a:lstStyle/>
          <a:p>
            <a:pPr>
              <a:defRPr/>
            </a:pPr>
            <a:endParaRPr lang="ja-JP"/>
          </a:p>
        </c:txPr>
        <c:crossAx val="475927920"/>
        <c:crosses val="autoZero"/>
        <c:crossBetween val="midCat"/>
      </c:valAx>
      <c:valAx>
        <c:axId val="475927920"/>
        <c:scaling>
          <c:orientation val="minMax"/>
        </c:scaling>
        <c:delete val="0"/>
        <c:axPos val="l"/>
        <c:title>
          <c:tx>
            <c:rich>
              <a:bodyPr/>
              <a:lstStyle/>
              <a:p>
                <a:pPr>
                  <a:defRPr/>
                </a:pPr>
                <a:r>
                  <a:rPr lang="ja-JP"/>
                  <a:t>バグ数</a:t>
                </a:r>
              </a:p>
            </c:rich>
          </c:tx>
          <c:layout>
            <c:manualLayout>
              <c:xMode val="edge"/>
              <c:yMode val="edge"/>
              <c:x val="3.8369394412737963E-2"/>
              <c:y val="0.36764705882352944"/>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a:pPr>
            <a:endParaRPr lang="ja-JP"/>
          </a:p>
        </c:txPr>
        <c:crossAx val="475932624"/>
        <c:crosses val="autoZero"/>
        <c:crossBetween val="midCat"/>
      </c:valAx>
      <c:spPr>
        <a:noFill/>
        <a:ln w="25400">
          <a:noFill/>
        </a:ln>
      </c:spPr>
    </c:plotArea>
    <c:plotVisOnly val="1"/>
    <c:dispBlanksAs val="gap"/>
    <c:showDLblsOverMax val="0"/>
  </c:chart>
  <c:spPr>
    <a:solidFill>
      <a:srgbClr val="FFFFFF"/>
    </a:solidFill>
    <a:ln w="6350">
      <a:noFill/>
    </a:ln>
  </c:spPr>
  <c:txPr>
    <a:bodyPr/>
    <a:lstStyle/>
    <a:p>
      <a:pPr>
        <a:defRPr sz="9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6091205211726385E-2"/>
          <c:y val="0.12926829268292683"/>
          <c:w val="0.88110749185667747"/>
          <c:h val="0.72926829268292681"/>
        </c:manualLayout>
      </c:layout>
      <c:scatterChart>
        <c:scatterStyle val="lineMarker"/>
        <c:varyColors val="0"/>
        <c:ser>
          <c:idx val="0"/>
          <c:order val="0"/>
          <c:tx>
            <c:v>累積バグ数</c:v>
          </c:tx>
          <c:spPr>
            <a:ln w="25400">
              <a:solidFill>
                <a:srgbClr val="000080"/>
              </a:solidFill>
              <a:prstDash val="solid"/>
            </a:ln>
          </c:spPr>
          <c:marker>
            <c:symbol val="diamond"/>
            <c:size val="7"/>
            <c:spPr>
              <a:solidFill>
                <a:srgbClr val="000080"/>
              </a:solidFill>
              <a:ln>
                <a:solidFill>
                  <a:srgbClr val="000080"/>
                </a:solidFill>
                <a:prstDash val="solid"/>
              </a:ln>
            </c:spPr>
          </c:marker>
          <c:xVal>
            <c:numRef>
              <c:f>ロジスティック!$B$10:$B$17</c:f>
              <c:numCache>
                <c:formatCode>General</c:formatCode>
                <c:ptCount val="8"/>
                <c:pt idx="0">
                  <c:v>0</c:v>
                </c:pt>
                <c:pt idx="1">
                  <c:v>7</c:v>
                </c:pt>
                <c:pt idx="2">
                  <c:v>14</c:v>
                </c:pt>
                <c:pt idx="3">
                  <c:v>21</c:v>
                </c:pt>
                <c:pt idx="4">
                  <c:v>28</c:v>
                </c:pt>
                <c:pt idx="5">
                  <c:v>35</c:v>
                </c:pt>
                <c:pt idx="6">
                  <c:v>42</c:v>
                </c:pt>
                <c:pt idx="7">
                  <c:v>49</c:v>
                </c:pt>
              </c:numCache>
            </c:numRef>
          </c:xVal>
          <c:yVal>
            <c:numRef>
              <c:f>ロジスティック!$C$10:$C$17</c:f>
              <c:numCache>
                <c:formatCode>General</c:formatCode>
                <c:ptCount val="8"/>
                <c:pt idx="0">
                  <c:v>1</c:v>
                </c:pt>
                <c:pt idx="1">
                  <c:v>67</c:v>
                </c:pt>
                <c:pt idx="2">
                  <c:v>81</c:v>
                </c:pt>
                <c:pt idx="3">
                  <c:v>99</c:v>
                </c:pt>
                <c:pt idx="4">
                  <c:v>117</c:v>
                </c:pt>
                <c:pt idx="5">
                  <c:v>132</c:v>
                </c:pt>
                <c:pt idx="6">
                  <c:v>147</c:v>
                </c:pt>
                <c:pt idx="7">
                  <c:v>166</c:v>
                </c:pt>
              </c:numCache>
            </c:numRef>
          </c:yVal>
          <c:smooth val="0"/>
          <c:extLst>
            <c:ext xmlns:c16="http://schemas.microsoft.com/office/drawing/2014/chart" uri="{C3380CC4-5D6E-409C-BE32-E72D297353CC}">
              <c16:uniqueId val="{00000000-4B35-4045-8C47-E50F4CA80205}"/>
            </c:ext>
          </c:extLst>
        </c:ser>
        <c:ser>
          <c:idx val="1"/>
          <c:order val="1"/>
          <c:tx>
            <c:v>成長曲線</c:v>
          </c:tx>
          <c:spPr>
            <a:ln w="38100">
              <a:solidFill>
                <a:srgbClr val="FF00FF"/>
              </a:solidFill>
              <a:prstDash val="solid"/>
            </a:ln>
          </c:spPr>
          <c:marker>
            <c:symbol val="none"/>
          </c:marker>
          <c:xVal>
            <c:numRef>
              <c:f>ロジスティック!$B$10:$B$17</c:f>
              <c:numCache>
                <c:formatCode>General</c:formatCode>
                <c:ptCount val="8"/>
                <c:pt idx="0">
                  <c:v>0</c:v>
                </c:pt>
                <c:pt idx="1">
                  <c:v>7</c:v>
                </c:pt>
                <c:pt idx="2">
                  <c:v>14</c:v>
                </c:pt>
                <c:pt idx="3">
                  <c:v>21</c:v>
                </c:pt>
                <c:pt idx="4">
                  <c:v>28</c:v>
                </c:pt>
                <c:pt idx="5">
                  <c:v>35</c:v>
                </c:pt>
                <c:pt idx="6">
                  <c:v>42</c:v>
                </c:pt>
                <c:pt idx="7">
                  <c:v>49</c:v>
                </c:pt>
              </c:numCache>
            </c:numRef>
          </c:xVal>
          <c:yVal>
            <c:numRef>
              <c:f>ロジスティック!$D$10:$D$17</c:f>
              <c:numCache>
                <c:formatCode>0.00000_ </c:formatCode>
                <c:ptCount val="8"/>
                <c:pt idx="0">
                  <c:v>0</c:v>
                </c:pt>
                <c:pt idx="1">
                  <c:v>67.136446776933724</c:v>
                </c:pt>
                <c:pt idx="2">
                  <c:v>81.971392436028879</c:v>
                </c:pt>
                <c:pt idx="3">
                  <c:v>98.201412665453432</c:v>
                </c:pt>
                <c:pt idx="4">
                  <c:v>115.2722690652559</c:v>
                </c:pt>
                <c:pt idx="5">
                  <c:v>132.49995850932663</c:v>
                </c:pt>
                <c:pt idx="6">
                  <c:v>149.17521760509592</c:v>
                </c:pt>
                <c:pt idx="7">
                  <c:v>164.67628591219534</c:v>
                </c:pt>
              </c:numCache>
            </c:numRef>
          </c:yVal>
          <c:smooth val="1"/>
          <c:extLst>
            <c:ext xmlns:c16="http://schemas.microsoft.com/office/drawing/2014/chart" uri="{C3380CC4-5D6E-409C-BE32-E72D297353CC}">
              <c16:uniqueId val="{00000001-4B35-4045-8C47-E50F4CA80205}"/>
            </c:ext>
          </c:extLst>
        </c:ser>
        <c:ser>
          <c:idx val="2"/>
          <c:order val="2"/>
          <c:tx>
            <c:v>95%推定障害除去率</c:v>
          </c:tx>
          <c:spPr>
            <a:ln w="25400">
              <a:solidFill>
                <a:srgbClr val="339966"/>
              </a:solidFill>
              <a:prstDash val="sysDash"/>
            </a:ln>
          </c:spPr>
          <c:marker>
            <c:symbol val="none"/>
          </c:marker>
          <c:xVal>
            <c:numRef>
              <c:f>ロジスティック!$H$36:$H$37</c:f>
              <c:numCache>
                <c:formatCode>General</c:formatCode>
                <c:ptCount val="2"/>
                <c:pt idx="0">
                  <c:v>0</c:v>
                </c:pt>
                <c:pt idx="1">
                  <c:v>49</c:v>
                </c:pt>
              </c:numCache>
            </c:numRef>
          </c:xVal>
          <c:yVal>
            <c:numRef>
              <c:f>ロジスティック!$I$36:$I$37</c:f>
              <c:numCache>
                <c:formatCode>0.0_ </c:formatCode>
                <c:ptCount val="2"/>
                <c:pt idx="0">
                  <c:v>226.18999135038294</c:v>
                </c:pt>
                <c:pt idx="1">
                  <c:v>226.18999135038294</c:v>
                </c:pt>
              </c:numCache>
            </c:numRef>
          </c:yVal>
          <c:smooth val="0"/>
          <c:extLst>
            <c:ext xmlns:c16="http://schemas.microsoft.com/office/drawing/2014/chart" uri="{C3380CC4-5D6E-409C-BE32-E72D297353CC}">
              <c16:uniqueId val="{00000002-4B35-4045-8C47-E50F4CA80205}"/>
            </c:ext>
          </c:extLst>
        </c:ser>
        <c:ser>
          <c:idx val="3"/>
          <c:order val="3"/>
          <c:tx>
            <c:v>99%推定障害除去率</c:v>
          </c:tx>
          <c:spPr>
            <a:ln w="25400">
              <a:solidFill>
                <a:srgbClr val="FF6600"/>
              </a:solidFill>
              <a:prstDash val="sysDash"/>
            </a:ln>
          </c:spPr>
          <c:marker>
            <c:symbol val="none"/>
          </c:marker>
          <c:xVal>
            <c:numRef>
              <c:f>ロジスティック!$H$39:$H$40</c:f>
              <c:numCache>
                <c:formatCode>General</c:formatCode>
                <c:ptCount val="2"/>
                <c:pt idx="0">
                  <c:v>0</c:v>
                </c:pt>
                <c:pt idx="1">
                  <c:v>49</c:v>
                </c:pt>
              </c:numCache>
            </c:numRef>
          </c:xVal>
          <c:yVal>
            <c:numRef>
              <c:f>ロジスティック!$I$39:$I$40</c:f>
              <c:numCache>
                <c:formatCode>0.0_ </c:formatCode>
                <c:ptCount val="2"/>
                <c:pt idx="0">
                  <c:v>235.71378045987277</c:v>
                </c:pt>
                <c:pt idx="1">
                  <c:v>235.71378045987277</c:v>
                </c:pt>
              </c:numCache>
            </c:numRef>
          </c:yVal>
          <c:smooth val="0"/>
          <c:extLst>
            <c:ext xmlns:c16="http://schemas.microsoft.com/office/drawing/2014/chart" uri="{C3380CC4-5D6E-409C-BE32-E72D297353CC}">
              <c16:uniqueId val="{00000003-4B35-4045-8C47-E50F4CA80205}"/>
            </c:ext>
          </c:extLst>
        </c:ser>
        <c:dLbls>
          <c:showLegendKey val="0"/>
          <c:showVal val="0"/>
          <c:showCatName val="0"/>
          <c:showSerName val="0"/>
          <c:showPercent val="0"/>
          <c:showBubbleSize val="0"/>
        </c:dLbls>
        <c:axId val="475922040"/>
        <c:axId val="475931840"/>
      </c:scatterChart>
      <c:valAx>
        <c:axId val="475922040"/>
        <c:scaling>
          <c:orientation val="minMax"/>
        </c:scaling>
        <c:delete val="0"/>
        <c:axPos val="b"/>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検証時間</a:t>
                </a:r>
                <a:r>
                  <a:rPr lang="en-US"/>
                  <a:t>or</a:t>
                </a:r>
                <a:r>
                  <a:rPr lang="ja-JP"/>
                  <a:t>検証消化数</a:t>
                </a:r>
                <a:endParaRPr lang="en-US"/>
              </a:p>
            </c:rich>
          </c:tx>
          <c:layout>
            <c:manualLayout>
              <c:xMode val="edge"/>
              <c:yMode val="edge"/>
              <c:x val="0.46905537459283386"/>
              <c:y val="0.92926829268292688"/>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31840"/>
        <c:crosses val="autoZero"/>
        <c:crossBetween val="midCat"/>
      </c:valAx>
      <c:valAx>
        <c:axId val="475931840"/>
        <c:scaling>
          <c:orientation val="minMax"/>
        </c:scaling>
        <c:delete val="0"/>
        <c:axPos val="l"/>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累積バグ数</a:t>
                </a:r>
              </a:p>
            </c:rich>
          </c:tx>
          <c:layout>
            <c:manualLayout>
              <c:xMode val="edge"/>
              <c:yMode val="edge"/>
              <c:x val="9.7719869706840382E-3"/>
              <c:y val="0.39756097560975612"/>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22040"/>
        <c:crosses val="autoZero"/>
        <c:crossBetween val="midCat"/>
      </c:valAx>
      <c:spPr>
        <a:noFill/>
        <a:ln w="25400">
          <a:noFill/>
        </a:ln>
      </c:spPr>
    </c:plotArea>
    <c:legend>
      <c:legendPos val="t"/>
      <c:layout>
        <c:manualLayout>
          <c:xMode val="edge"/>
          <c:yMode val="edge"/>
          <c:x val="2.6058631921824105E-2"/>
          <c:y val="3.1707317073170732E-2"/>
          <c:w val="0.93811074918566772"/>
          <c:h val="5.3658536585365853E-2"/>
        </c:manualLayout>
      </c:layout>
      <c:overlay val="0"/>
      <c:spPr>
        <a:solidFill>
          <a:srgbClr val="FFFFFF"/>
        </a:solidFill>
        <a:ln w="3175">
          <a:solidFill>
            <a:srgbClr val="000000"/>
          </a:solidFill>
          <a:prstDash val="solid"/>
        </a:ln>
        <a:effectLst/>
      </c:spPr>
      <c:txPr>
        <a:bodyPr/>
        <a:lstStyle/>
        <a:p>
          <a:pPr>
            <a:defRPr sz="1100" b="0" i="0" u="none" strike="noStrike" baseline="0">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6350">
      <a:noFill/>
    </a:ln>
  </c:spPr>
  <c:txPr>
    <a:bodyPr/>
    <a:lstStyle/>
    <a:p>
      <a:pPr>
        <a:defRPr sz="9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359400514675079"/>
          <c:y val="0.11463414634146342"/>
          <c:w val="0.87133550488599354"/>
          <c:h val="0.72682926829268291"/>
        </c:manualLayout>
      </c:layout>
      <c:scatterChart>
        <c:scatterStyle val="lineMarker"/>
        <c:varyColors val="0"/>
        <c:ser>
          <c:idx val="0"/>
          <c:order val="0"/>
          <c:tx>
            <c:v>累積バグ数</c:v>
          </c:tx>
          <c:spPr>
            <a:ln w="25400">
              <a:solidFill>
                <a:srgbClr val="000080"/>
              </a:solidFill>
              <a:prstDash val="solid"/>
            </a:ln>
          </c:spPr>
          <c:marker>
            <c:symbol val="diamond"/>
            <c:size val="7"/>
            <c:spPr>
              <a:solidFill>
                <a:srgbClr val="000080"/>
              </a:solidFill>
              <a:ln>
                <a:solidFill>
                  <a:srgbClr val="000080"/>
                </a:solidFill>
                <a:prstDash val="solid"/>
              </a:ln>
            </c:spPr>
          </c:marker>
          <c:xVal>
            <c:numRef>
              <c:f>指数!$B$10:$B$17</c:f>
              <c:numCache>
                <c:formatCode>General</c:formatCode>
                <c:ptCount val="8"/>
                <c:pt idx="0">
                  <c:v>0</c:v>
                </c:pt>
                <c:pt idx="1">
                  <c:v>7</c:v>
                </c:pt>
                <c:pt idx="2">
                  <c:v>14</c:v>
                </c:pt>
                <c:pt idx="3">
                  <c:v>21</c:v>
                </c:pt>
                <c:pt idx="4">
                  <c:v>28</c:v>
                </c:pt>
                <c:pt idx="5">
                  <c:v>35</c:v>
                </c:pt>
                <c:pt idx="6">
                  <c:v>42</c:v>
                </c:pt>
                <c:pt idx="7">
                  <c:v>49</c:v>
                </c:pt>
              </c:numCache>
            </c:numRef>
          </c:xVal>
          <c:yVal>
            <c:numRef>
              <c:f>指数!$C$10:$C$17</c:f>
              <c:numCache>
                <c:formatCode>General</c:formatCode>
                <c:ptCount val="8"/>
                <c:pt idx="0">
                  <c:v>1</c:v>
                </c:pt>
                <c:pt idx="1">
                  <c:v>67</c:v>
                </c:pt>
                <c:pt idx="2">
                  <c:v>81</c:v>
                </c:pt>
                <c:pt idx="3">
                  <c:v>99</c:v>
                </c:pt>
                <c:pt idx="4">
                  <c:v>117</c:v>
                </c:pt>
                <c:pt idx="5">
                  <c:v>132</c:v>
                </c:pt>
                <c:pt idx="6">
                  <c:v>147</c:v>
                </c:pt>
                <c:pt idx="7">
                  <c:v>166</c:v>
                </c:pt>
              </c:numCache>
            </c:numRef>
          </c:yVal>
          <c:smooth val="0"/>
          <c:extLst>
            <c:ext xmlns:c16="http://schemas.microsoft.com/office/drawing/2014/chart" uri="{C3380CC4-5D6E-409C-BE32-E72D297353CC}">
              <c16:uniqueId val="{00000000-010B-4A3B-AFA0-17272DED3E60}"/>
            </c:ext>
          </c:extLst>
        </c:ser>
        <c:ser>
          <c:idx val="1"/>
          <c:order val="1"/>
          <c:spPr>
            <a:ln w="38100">
              <a:solidFill>
                <a:srgbClr val="FF00FF"/>
              </a:solidFill>
              <a:prstDash val="solid"/>
            </a:ln>
          </c:spPr>
          <c:marker>
            <c:symbol val="none"/>
          </c:marker>
          <c:xVal>
            <c:numRef>
              <c:f>指数!$B$10:$B$17</c:f>
              <c:numCache>
                <c:formatCode>General</c:formatCode>
                <c:ptCount val="8"/>
                <c:pt idx="0">
                  <c:v>0</c:v>
                </c:pt>
                <c:pt idx="1">
                  <c:v>7</c:v>
                </c:pt>
                <c:pt idx="2">
                  <c:v>14</c:v>
                </c:pt>
                <c:pt idx="3">
                  <c:v>21</c:v>
                </c:pt>
                <c:pt idx="4">
                  <c:v>28</c:v>
                </c:pt>
                <c:pt idx="5">
                  <c:v>35</c:v>
                </c:pt>
                <c:pt idx="6">
                  <c:v>42</c:v>
                </c:pt>
                <c:pt idx="7">
                  <c:v>49</c:v>
                </c:pt>
              </c:numCache>
            </c:numRef>
          </c:xVal>
          <c:yVal>
            <c:numRef>
              <c:f>指数!$D$10:$D$17</c:f>
              <c:numCache>
                <c:formatCode>0.00000_ </c:formatCode>
                <c:ptCount val="8"/>
                <c:pt idx="0">
                  <c:v>0</c:v>
                </c:pt>
                <c:pt idx="1">
                  <c:v>46.353073613814558</c:v>
                </c:pt>
                <c:pt idx="2">
                  <c:v>80.531253299618385</c:v>
                </c:pt>
                <c:pt idx="3">
                  <c:v>105.73234301305114</c:v>
                </c:pt>
                <c:pt idx="4">
                  <c:v>124.31422562303338</c:v>
                </c:pt>
                <c:pt idx="5">
                  <c:v>138.01547288088966</c:v>
                </c:pt>
                <c:pt idx="6">
                  <c:v>148.11801094773054</c:v>
                </c:pt>
                <c:pt idx="7">
                  <c:v>155.56706091166336</c:v>
                </c:pt>
              </c:numCache>
            </c:numRef>
          </c:yVal>
          <c:smooth val="1"/>
          <c:extLst>
            <c:ext xmlns:c16="http://schemas.microsoft.com/office/drawing/2014/chart" uri="{C3380CC4-5D6E-409C-BE32-E72D297353CC}">
              <c16:uniqueId val="{00000001-010B-4A3B-AFA0-17272DED3E60}"/>
            </c:ext>
          </c:extLst>
        </c:ser>
        <c:ser>
          <c:idx val="2"/>
          <c:order val="2"/>
          <c:tx>
            <c:v>95%推定障害除去率</c:v>
          </c:tx>
          <c:spPr>
            <a:ln w="25400">
              <a:solidFill>
                <a:srgbClr val="339966"/>
              </a:solidFill>
              <a:prstDash val="sysDash"/>
            </a:ln>
          </c:spPr>
          <c:marker>
            <c:symbol val="none"/>
          </c:marker>
          <c:xVal>
            <c:numRef>
              <c:f>指数!$H$36:$H$37</c:f>
              <c:numCache>
                <c:formatCode>General</c:formatCode>
                <c:ptCount val="2"/>
                <c:pt idx="0">
                  <c:v>0</c:v>
                </c:pt>
                <c:pt idx="1">
                  <c:v>49</c:v>
                </c:pt>
              </c:numCache>
            </c:numRef>
          </c:xVal>
          <c:yVal>
            <c:numRef>
              <c:f>指数!$I$36:$I$37</c:f>
              <c:numCache>
                <c:formatCode>0.0_ </c:formatCode>
                <c:ptCount val="2"/>
                <c:pt idx="0">
                  <c:v>167.65460741133839</c:v>
                </c:pt>
                <c:pt idx="1">
                  <c:v>167.65460741133839</c:v>
                </c:pt>
              </c:numCache>
            </c:numRef>
          </c:yVal>
          <c:smooth val="0"/>
          <c:extLst>
            <c:ext xmlns:c16="http://schemas.microsoft.com/office/drawing/2014/chart" uri="{C3380CC4-5D6E-409C-BE32-E72D297353CC}">
              <c16:uniqueId val="{00000002-010B-4A3B-AFA0-17272DED3E60}"/>
            </c:ext>
          </c:extLst>
        </c:ser>
        <c:ser>
          <c:idx val="3"/>
          <c:order val="3"/>
          <c:tx>
            <c:v>99%推定障害除去率</c:v>
          </c:tx>
          <c:spPr>
            <a:ln w="25400">
              <a:solidFill>
                <a:srgbClr val="FF9900"/>
              </a:solidFill>
              <a:prstDash val="sysDash"/>
            </a:ln>
          </c:spPr>
          <c:marker>
            <c:symbol val="none"/>
          </c:marker>
          <c:xVal>
            <c:numRef>
              <c:f>指数!$H$39:$H$40</c:f>
              <c:numCache>
                <c:formatCode>General</c:formatCode>
                <c:ptCount val="2"/>
                <c:pt idx="0">
                  <c:v>0</c:v>
                </c:pt>
                <c:pt idx="1">
                  <c:v>49</c:v>
                </c:pt>
              </c:numCache>
            </c:numRef>
          </c:xVal>
          <c:yVal>
            <c:numRef>
              <c:f>指数!$I$39:$I$40</c:f>
              <c:numCache>
                <c:formatCode>0.0_ </c:formatCode>
                <c:ptCount val="2"/>
                <c:pt idx="0">
                  <c:v>174.71374877602634</c:v>
                </c:pt>
                <c:pt idx="1">
                  <c:v>174.71374877602634</c:v>
                </c:pt>
              </c:numCache>
            </c:numRef>
          </c:yVal>
          <c:smooth val="0"/>
          <c:extLst>
            <c:ext xmlns:c16="http://schemas.microsoft.com/office/drawing/2014/chart" uri="{C3380CC4-5D6E-409C-BE32-E72D297353CC}">
              <c16:uniqueId val="{00000003-010B-4A3B-AFA0-17272DED3E60}"/>
            </c:ext>
          </c:extLst>
        </c:ser>
        <c:dLbls>
          <c:showLegendKey val="0"/>
          <c:showVal val="0"/>
          <c:showCatName val="0"/>
          <c:showSerName val="0"/>
          <c:showPercent val="0"/>
          <c:showBubbleSize val="0"/>
        </c:dLbls>
        <c:axId val="475929880"/>
        <c:axId val="475928704"/>
      </c:scatterChart>
      <c:valAx>
        <c:axId val="475929880"/>
        <c:scaling>
          <c:orientation val="minMax"/>
        </c:scaling>
        <c:delete val="0"/>
        <c:axPos val="b"/>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検証時間</a:t>
                </a:r>
                <a:r>
                  <a:rPr lang="en-US"/>
                  <a:t>or</a:t>
                </a:r>
                <a:r>
                  <a:rPr lang="ja-JP"/>
                  <a:t>検証消化数</a:t>
                </a:r>
                <a:endParaRPr lang="en-US"/>
              </a:p>
            </c:rich>
          </c:tx>
          <c:layout>
            <c:manualLayout>
              <c:xMode val="edge"/>
              <c:yMode val="edge"/>
              <c:x val="0.46742671009771986"/>
              <c:y val="0.91219512195121955"/>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28704"/>
        <c:crosses val="autoZero"/>
        <c:crossBetween val="midCat"/>
      </c:valAx>
      <c:valAx>
        <c:axId val="475928704"/>
        <c:scaling>
          <c:orientation val="minMax"/>
        </c:scaling>
        <c:delete val="0"/>
        <c:axPos val="l"/>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累積バグ数</a:t>
                </a:r>
              </a:p>
            </c:rich>
          </c:tx>
          <c:layout>
            <c:manualLayout>
              <c:xMode val="edge"/>
              <c:yMode val="edge"/>
              <c:x val="1.0857763300760043E-2"/>
              <c:y val="0.39918699186991868"/>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29880"/>
        <c:crosses val="autoZero"/>
        <c:crossBetween val="midCat"/>
      </c:valAx>
      <c:spPr>
        <a:noFill/>
        <a:ln w="25400">
          <a:noFill/>
        </a:ln>
      </c:spPr>
    </c:plotArea>
    <c:legend>
      <c:legendPos val="t"/>
      <c:layout>
        <c:manualLayout>
          <c:xMode val="edge"/>
          <c:yMode val="edge"/>
          <c:x val="2.7687296416938109E-2"/>
          <c:y val="1.9512195121951219E-2"/>
          <c:w val="0.93811074918566772"/>
          <c:h val="5.3658536585365853E-2"/>
        </c:manualLayout>
      </c:layout>
      <c:overlay val="0"/>
      <c:spPr>
        <a:solidFill>
          <a:srgbClr val="FFFFFF"/>
        </a:solidFill>
        <a:ln w="3175">
          <a:solidFill>
            <a:srgbClr val="000000"/>
          </a:solidFill>
          <a:prstDash val="solid"/>
        </a:ln>
        <a:effectLst/>
      </c:spPr>
      <c:txPr>
        <a:bodyPr/>
        <a:lstStyle/>
        <a:p>
          <a:pPr>
            <a:defRPr sz="1100" b="0" i="0" u="none" strike="noStrike" baseline="0">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6350">
      <a:noFill/>
    </a:ln>
  </c:spPr>
  <c:txPr>
    <a:bodyPr/>
    <a:lstStyle/>
    <a:p>
      <a:pPr>
        <a:defRPr sz="9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00651465798045"/>
          <c:y val="0.13902439024390245"/>
          <c:w val="0.8631921824104235"/>
          <c:h val="0.70487804878048776"/>
        </c:manualLayout>
      </c:layout>
      <c:scatterChart>
        <c:scatterStyle val="lineMarker"/>
        <c:varyColors val="0"/>
        <c:ser>
          <c:idx val="0"/>
          <c:order val="0"/>
          <c:tx>
            <c:v>累積バグ数</c:v>
          </c:tx>
          <c:spPr>
            <a:ln w="25400">
              <a:solidFill>
                <a:srgbClr val="000080"/>
              </a:solidFill>
              <a:prstDash val="solid"/>
            </a:ln>
          </c:spPr>
          <c:marker>
            <c:symbol val="diamond"/>
            <c:size val="7"/>
            <c:spPr>
              <a:solidFill>
                <a:srgbClr val="000080"/>
              </a:solidFill>
              <a:ln>
                <a:solidFill>
                  <a:srgbClr val="000080"/>
                </a:solidFill>
                <a:prstDash val="solid"/>
              </a:ln>
            </c:spPr>
          </c:marker>
          <c:xVal>
            <c:numRef>
              <c:f>ゴンペルツ!$B$10:$B$17</c:f>
              <c:numCache>
                <c:formatCode>General</c:formatCode>
                <c:ptCount val="8"/>
                <c:pt idx="0">
                  <c:v>0</c:v>
                </c:pt>
                <c:pt idx="1">
                  <c:v>7</c:v>
                </c:pt>
                <c:pt idx="2">
                  <c:v>14</c:v>
                </c:pt>
                <c:pt idx="3">
                  <c:v>21</c:v>
                </c:pt>
                <c:pt idx="4">
                  <c:v>28</c:v>
                </c:pt>
                <c:pt idx="5">
                  <c:v>35</c:v>
                </c:pt>
                <c:pt idx="6">
                  <c:v>42</c:v>
                </c:pt>
                <c:pt idx="7">
                  <c:v>49</c:v>
                </c:pt>
              </c:numCache>
            </c:numRef>
          </c:xVal>
          <c:yVal>
            <c:numRef>
              <c:f>ゴンペルツ!$C$10:$C$17</c:f>
              <c:numCache>
                <c:formatCode>General</c:formatCode>
                <c:ptCount val="8"/>
                <c:pt idx="0">
                  <c:v>1</c:v>
                </c:pt>
                <c:pt idx="1">
                  <c:v>67</c:v>
                </c:pt>
                <c:pt idx="2">
                  <c:v>81</c:v>
                </c:pt>
                <c:pt idx="3">
                  <c:v>99</c:v>
                </c:pt>
                <c:pt idx="4">
                  <c:v>117</c:v>
                </c:pt>
                <c:pt idx="5">
                  <c:v>132</c:v>
                </c:pt>
                <c:pt idx="6">
                  <c:v>147</c:v>
                </c:pt>
                <c:pt idx="7">
                  <c:v>166</c:v>
                </c:pt>
              </c:numCache>
            </c:numRef>
          </c:yVal>
          <c:smooth val="0"/>
          <c:extLst>
            <c:ext xmlns:c16="http://schemas.microsoft.com/office/drawing/2014/chart" uri="{C3380CC4-5D6E-409C-BE32-E72D297353CC}">
              <c16:uniqueId val="{00000000-34B5-48BA-B063-4A6200CC0F74}"/>
            </c:ext>
          </c:extLst>
        </c:ser>
        <c:ser>
          <c:idx val="1"/>
          <c:order val="1"/>
          <c:tx>
            <c:v>成長曲線</c:v>
          </c:tx>
          <c:spPr>
            <a:ln w="38100">
              <a:solidFill>
                <a:srgbClr val="FF00FF"/>
              </a:solidFill>
              <a:prstDash val="solid"/>
            </a:ln>
          </c:spPr>
          <c:marker>
            <c:symbol val="none"/>
          </c:marker>
          <c:xVal>
            <c:numRef>
              <c:f>ゴンペルツ!$B$10:$B$17</c:f>
              <c:numCache>
                <c:formatCode>General</c:formatCode>
                <c:ptCount val="8"/>
                <c:pt idx="0">
                  <c:v>0</c:v>
                </c:pt>
                <c:pt idx="1">
                  <c:v>7</c:v>
                </c:pt>
                <c:pt idx="2">
                  <c:v>14</c:v>
                </c:pt>
                <c:pt idx="3">
                  <c:v>21</c:v>
                </c:pt>
                <c:pt idx="4">
                  <c:v>28</c:v>
                </c:pt>
                <c:pt idx="5">
                  <c:v>35</c:v>
                </c:pt>
                <c:pt idx="6">
                  <c:v>42</c:v>
                </c:pt>
                <c:pt idx="7">
                  <c:v>49</c:v>
                </c:pt>
              </c:numCache>
            </c:numRef>
          </c:xVal>
          <c:yVal>
            <c:numRef>
              <c:f>ゴンペルツ!$D$10:$D$17</c:f>
              <c:numCache>
                <c:formatCode>0.00000_ </c:formatCode>
                <c:ptCount val="8"/>
                <c:pt idx="0">
                  <c:v>0</c:v>
                </c:pt>
                <c:pt idx="1">
                  <c:v>13.600959570093513</c:v>
                </c:pt>
                <c:pt idx="2">
                  <c:v>82.057552208903644</c:v>
                </c:pt>
                <c:pt idx="3">
                  <c:v>82.305086340152826</c:v>
                </c:pt>
                <c:pt idx="4">
                  <c:v>82.305501807144537</c:v>
                </c:pt>
                <c:pt idx="5">
                  <c:v>82.305502503424762</c:v>
                </c:pt>
                <c:pt idx="6">
                  <c:v>82.305502504591658</c:v>
                </c:pt>
                <c:pt idx="7">
                  <c:v>82.305502504593619</c:v>
                </c:pt>
              </c:numCache>
            </c:numRef>
          </c:yVal>
          <c:smooth val="1"/>
          <c:extLst>
            <c:ext xmlns:c16="http://schemas.microsoft.com/office/drawing/2014/chart" uri="{C3380CC4-5D6E-409C-BE32-E72D297353CC}">
              <c16:uniqueId val="{00000001-34B5-48BA-B063-4A6200CC0F74}"/>
            </c:ext>
          </c:extLst>
        </c:ser>
        <c:ser>
          <c:idx val="2"/>
          <c:order val="2"/>
          <c:tx>
            <c:v>95%推定障害除去率</c:v>
          </c:tx>
          <c:spPr>
            <a:ln w="25400">
              <a:solidFill>
                <a:srgbClr val="339966"/>
              </a:solidFill>
              <a:prstDash val="sysDash"/>
            </a:ln>
          </c:spPr>
          <c:marker>
            <c:symbol val="none"/>
          </c:marker>
          <c:xVal>
            <c:numRef>
              <c:f>ゴンペルツ!$H$36:$H$37</c:f>
              <c:numCache>
                <c:formatCode>General</c:formatCode>
                <c:ptCount val="2"/>
                <c:pt idx="0">
                  <c:v>0</c:v>
                </c:pt>
                <c:pt idx="1">
                  <c:v>49</c:v>
                </c:pt>
              </c:numCache>
            </c:numRef>
          </c:xVal>
          <c:yVal>
            <c:numRef>
              <c:f>ゴンペルツ!$I$36:$I$37</c:f>
              <c:numCache>
                <c:formatCode>0.0_ </c:formatCode>
                <c:ptCount val="2"/>
                <c:pt idx="0">
                  <c:v>78.190227379363932</c:v>
                </c:pt>
                <c:pt idx="1">
                  <c:v>78.190227379363932</c:v>
                </c:pt>
              </c:numCache>
            </c:numRef>
          </c:yVal>
          <c:smooth val="0"/>
          <c:extLst>
            <c:ext xmlns:c16="http://schemas.microsoft.com/office/drawing/2014/chart" uri="{C3380CC4-5D6E-409C-BE32-E72D297353CC}">
              <c16:uniqueId val="{00000002-34B5-48BA-B063-4A6200CC0F74}"/>
            </c:ext>
          </c:extLst>
        </c:ser>
        <c:ser>
          <c:idx val="3"/>
          <c:order val="3"/>
          <c:tx>
            <c:v>99%推定障害除去率</c:v>
          </c:tx>
          <c:spPr>
            <a:ln w="25400">
              <a:solidFill>
                <a:srgbClr val="FF9900"/>
              </a:solidFill>
              <a:prstDash val="sysDash"/>
            </a:ln>
          </c:spPr>
          <c:marker>
            <c:symbol val="none"/>
          </c:marker>
          <c:xVal>
            <c:numRef>
              <c:f>ゴンペルツ!$H$39:$H$40</c:f>
              <c:numCache>
                <c:formatCode>General</c:formatCode>
                <c:ptCount val="2"/>
                <c:pt idx="0">
                  <c:v>0</c:v>
                </c:pt>
                <c:pt idx="1">
                  <c:v>49</c:v>
                </c:pt>
              </c:numCache>
            </c:numRef>
          </c:xVal>
          <c:yVal>
            <c:numRef>
              <c:f>ゴンペルツ!$I$39:$I$40</c:f>
              <c:numCache>
                <c:formatCode>0.0_ </c:formatCode>
                <c:ptCount val="2"/>
                <c:pt idx="0">
                  <c:v>81.482447479547687</c:v>
                </c:pt>
                <c:pt idx="1">
                  <c:v>81.482447479547687</c:v>
                </c:pt>
              </c:numCache>
            </c:numRef>
          </c:yVal>
          <c:smooth val="0"/>
          <c:extLst>
            <c:ext xmlns:c16="http://schemas.microsoft.com/office/drawing/2014/chart" uri="{C3380CC4-5D6E-409C-BE32-E72D297353CC}">
              <c16:uniqueId val="{00000003-34B5-48BA-B063-4A6200CC0F74}"/>
            </c:ext>
          </c:extLst>
        </c:ser>
        <c:dLbls>
          <c:showLegendKey val="0"/>
          <c:showVal val="0"/>
          <c:showCatName val="0"/>
          <c:showSerName val="0"/>
          <c:showPercent val="0"/>
          <c:showBubbleSize val="0"/>
        </c:dLbls>
        <c:axId val="475923216"/>
        <c:axId val="475925176"/>
      </c:scatterChart>
      <c:valAx>
        <c:axId val="475923216"/>
        <c:scaling>
          <c:orientation val="minMax"/>
        </c:scaling>
        <c:delete val="0"/>
        <c:axPos val="b"/>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検証時間</a:t>
                </a:r>
                <a:r>
                  <a:rPr lang="en-US"/>
                  <a:t>or</a:t>
                </a:r>
                <a:r>
                  <a:rPr lang="ja-JP"/>
                  <a:t>消化数</a:t>
                </a:r>
                <a:endParaRPr lang="en-US"/>
              </a:p>
            </c:rich>
          </c:tx>
          <c:layout>
            <c:manualLayout>
              <c:xMode val="edge"/>
              <c:yMode val="edge"/>
              <c:x val="0.47882736156351791"/>
              <c:y val="0.91463414634146345"/>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25176"/>
        <c:crosses val="autoZero"/>
        <c:crossBetween val="midCat"/>
      </c:valAx>
      <c:valAx>
        <c:axId val="475925176"/>
        <c:scaling>
          <c:orientation val="minMax"/>
        </c:scaling>
        <c:delete val="0"/>
        <c:axPos val="l"/>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累積バグ数</a:t>
                </a:r>
              </a:p>
            </c:rich>
          </c:tx>
          <c:layout>
            <c:manualLayout>
              <c:xMode val="edge"/>
              <c:yMode val="edge"/>
              <c:x val="2.7687296416938109E-2"/>
              <c:y val="0.39512195121951221"/>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23216"/>
        <c:crosses val="autoZero"/>
        <c:crossBetween val="midCat"/>
      </c:valAx>
      <c:spPr>
        <a:noFill/>
        <a:ln w="25400">
          <a:noFill/>
        </a:ln>
      </c:spPr>
    </c:plotArea>
    <c:legend>
      <c:legendPos val="t"/>
      <c:layout>
        <c:manualLayout>
          <c:xMode val="edge"/>
          <c:yMode val="edge"/>
          <c:x val="8.1433224755700327E-3"/>
          <c:y val="3.4146341463414637E-2"/>
          <c:w val="0.93811074918566772"/>
          <c:h val="5.3658536585365853E-2"/>
        </c:manualLayout>
      </c:layout>
      <c:overlay val="0"/>
      <c:spPr>
        <a:solidFill>
          <a:srgbClr val="FFFFFF"/>
        </a:solidFill>
        <a:ln w="3175">
          <a:solidFill>
            <a:srgbClr val="000000"/>
          </a:solidFill>
          <a:prstDash val="solid"/>
        </a:ln>
        <a:effectLst/>
      </c:spPr>
      <c:txPr>
        <a:bodyPr/>
        <a:lstStyle/>
        <a:p>
          <a:pPr>
            <a:defRPr sz="1100" b="0" i="0" u="none" strike="noStrike" baseline="0">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6350">
      <a:noFill/>
    </a:ln>
  </c:spPr>
  <c:txPr>
    <a:bodyPr/>
    <a:lstStyle/>
    <a:p>
      <a:pPr>
        <a:defRPr sz="9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00651465798045"/>
          <c:y val="0.13902439024390245"/>
          <c:w val="0.8631921824104235"/>
          <c:h val="0.70487804878048776"/>
        </c:manualLayout>
      </c:layout>
      <c:scatterChart>
        <c:scatterStyle val="lineMarker"/>
        <c:varyColors val="0"/>
        <c:ser>
          <c:idx val="0"/>
          <c:order val="0"/>
          <c:tx>
            <c:v>累積バグ数</c:v>
          </c:tx>
          <c:spPr>
            <a:ln w="25400">
              <a:solidFill>
                <a:srgbClr val="000080"/>
              </a:solidFill>
              <a:prstDash val="solid"/>
            </a:ln>
          </c:spPr>
          <c:marker>
            <c:symbol val="diamond"/>
            <c:size val="7"/>
            <c:spPr>
              <a:solidFill>
                <a:srgbClr val="000080"/>
              </a:solidFill>
              <a:ln>
                <a:solidFill>
                  <a:srgbClr val="000080"/>
                </a:solidFill>
                <a:prstDash val="solid"/>
              </a:ln>
            </c:spPr>
          </c:marker>
          <c:xVal>
            <c:numRef>
              <c:f>指数一般化!$B$10:$B$17</c:f>
              <c:numCache>
                <c:formatCode>General</c:formatCode>
                <c:ptCount val="8"/>
                <c:pt idx="0">
                  <c:v>0</c:v>
                </c:pt>
                <c:pt idx="1">
                  <c:v>7</c:v>
                </c:pt>
                <c:pt idx="2">
                  <c:v>14</c:v>
                </c:pt>
                <c:pt idx="3">
                  <c:v>21</c:v>
                </c:pt>
                <c:pt idx="4">
                  <c:v>28</c:v>
                </c:pt>
                <c:pt idx="5">
                  <c:v>35</c:v>
                </c:pt>
                <c:pt idx="6">
                  <c:v>42</c:v>
                </c:pt>
                <c:pt idx="7">
                  <c:v>49</c:v>
                </c:pt>
              </c:numCache>
            </c:numRef>
          </c:xVal>
          <c:yVal>
            <c:numRef>
              <c:f>指数一般化!$C$10:$C$17</c:f>
              <c:numCache>
                <c:formatCode>General</c:formatCode>
                <c:ptCount val="8"/>
                <c:pt idx="0">
                  <c:v>1</c:v>
                </c:pt>
                <c:pt idx="1">
                  <c:v>67</c:v>
                </c:pt>
                <c:pt idx="2">
                  <c:v>81</c:v>
                </c:pt>
                <c:pt idx="3">
                  <c:v>99</c:v>
                </c:pt>
                <c:pt idx="4">
                  <c:v>117</c:v>
                </c:pt>
                <c:pt idx="5">
                  <c:v>132</c:v>
                </c:pt>
                <c:pt idx="6">
                  <c:v>147</c:v>
                </c:pt>
                <c:pt idx="7">
                  <c:v>166</c:v>
                </c:pt>
              </c:numCache>
            </c:numRef>
          </c:yVal>
          <c:smooth val="0"/>
          <c:extLst>
            <c:ext xmlns:c16="http://schemas.microsoft.com/office/drawing/2014/chart" uri="{C3380CC4-5D6E-409C-BE32-E72D297353CC}">
              <c16:uniqueId val="{00000000-0D84-4EA5-9E35-8A79F7FD32F8}"/>
            </c:ext>
          </c:extLst>
        </c:ser>
        <c:ser>
          <c:idx val="1"/>
          <c:order val="1"/>
          <c:tx>
            <c:v>成長曲線</c:v>
          </c:tx>
          <c:spPr>
            <a:ln w="38100">
              <a:solidFill>
                <a:srgbClr val="FF00FF"/>
              </a:solidFill>
              <a:prstDash val="solid"/>
            </a:ln>
          </c:spPr>
          <c:marker>
            <c:symbol val="none"/>
          </c:marker>
          <c:xVal>
            <c:numRef>
              <c:f>指数一般化!$B$10:$B$17</c:f>
              <c:numCache>
                <c:formatCode>General</c:formatCode>
                <c:ptCount val="8"/>
                <c:pt idx="0">
                  <c:v>0</c:v>
                </c:pt>
                <c:pt idx="1">
                  <c:v>7</c:v>
                </c:pt>
                <c:pt idx="2">
                  <c:v>14</c:v>
                </c:pt>
                <c:pt idx="3">
                  <c:v>21</c:v>
                </c:pt>
                <c:pt idx="4">
                  <c:v>28</c:v>
                </c:pt>
                <c:pt idx="5">
                  <c:v>35</c:v>
                </c:pt>
                <c:pt idx="6">
                  <c:v>42</c:v>
                </c:pt>
                <c:pt idx="7">
                  <c:v>49</c:v>
                </c:pt>
              </c:numCache>
            </c:numRef>
          </c:xVal>
          <c:yVal>
            <c:numRef>
              <c:f>指数一般化!$D$10:$D$17</c:f>
              <c:numCache>
                <c:formatCode>0.00000_ </c:formatCode>
                <c:ptCount val="8"/>
                <c:pt idx="0">
                  <c:v>0</c:v>
                </c:pt>
                <c:pt idx="1">
                  <c:v>115.57142857142858</c:v>
                </c:pt>
                <c:pt idx="2">
                  <c:v>115.57142857142858</c:v>
                </c:pt>
                <c:pt idx="3">
                  <c:v>115.57142857142858</c:v>
                </c:pt>
                <c:pt idx="4">
                  <c:v>115.57142857142858</c:v>
                </c:pt>
                <c:pt idx="5">
                  <c:v>115.57142857142858</c:v>
                </c:pt>
                <c:pt idx="6">
                  <c:v>115.57142857142858</c:v>
                </c:pt>
                <c:pt idx="7">
                  <c:v>115.57142857142858</c:v>
                </c:pt>
              </c:numCache>
            </c:numRef>
          </c:yVal>
          <c:smooth val="1"/>
          <c:extLst>
            <c:ext xmlns:c16="http://schemas.microsoft.com/office/drawing/2014/chart" uri="{C3380CC4-5D6E-409C-BE32-E72D297353CC}">
              <c16:uniqueId val="{00000001-0D84-4EA5-9E35-8A79F7FD32F8}"/>
            </c:ext>
          </c:extLst>
        </c:ser>
        <c:ser>
          <c:idx val="2"/>
          <c:order val="2"/>
          <c:tx>
            <c:v>95%推定障害除去率</c:v>
          </c:tx>
          <c:spPr>
            <a:ln w="25400">
              <a:solidFill>
                <a:srgbClr val="339966"/>
              </a:solidFill>
              <a:prstDash val="sysDash"/>
            </a:ln>
          </c:spPr>
          <c:marker>
            <c:symbol val="none"/>
          </c:marker>
          <c:xVal>
            <c:numRef>
              <c:f>指数一般化!$H$36:$H$37</c:f>
              <c:numCache>
                <c:formatCode>General</c:formatCode>
                <c:ptCount val="2"/>
                <c:pt idx="0">
                  <c:v>0</c:v>
                </c:pt>
                <c:pt idx="1">
                  <c:v>49</c:v>
                </c:pt>
              </c:numCache>
            </c:numRef>
          </c:xVal>
          <c:yVal>
            <c:numRef>
              <c:f>指数一般化!$I$36:$I$37</c:f>
              <c:numCache>
                <c:formatCode>0.0_ </c:formatCode>
                <c:ptCount val="2"/>
                <c:pt idx="0">
                  <c:v>109.79285714285714</c:v>
                </c:pt>
                <c:pt idx="1">
                  <c:v>109.79285714285714</c:v>
                </c:pt>
              </c:numCache>
            </c:numRef>
          </c:yVal>
          <c:smooth val="0"/>
          <c:extLst>
            <c:ext xmlns:c16="http://schemas.microsoft.com/office/drawing/2014/chart" uri="{C3380CC4-5D6E-409C-BE32-E72D297353CC}">
              <c16:uniqueId val="{00000002-0D84-4EA5-9E35-8A79F7FD32F8}"/>
            </c:ext>
          </c:extLst>
        </c:ser>
        <c:ser>
          <c:idx val="3"/>
          <c:order val="3"/>
          <c:tx>
            <c:v>99%推定障害除去率</c:v>
          </c:tx>
          <c:spPr>
            <a:ln w="25400">
              <a:solidFill>
                <a:srgbClr val="FF9900"/>
              </a:solidFill>
              <a:prstDash val="sysDash"/>
            </a:ln>
          </c:spPr>
          <c:marker>
            <c:symbol val="none"/>
          </c:marker>
          <c:xVal>
            <c:numRef>
              <c:f>指数一般化!$H$39:$H$40</c:f>
              <c:numCache>
                <c:formatCode>General</c:formatCode>
                <c:ptCount val="2"/>
                <c:pt idx="0">
                  <c:v>0</c:v>
                </c:pt>
                <c:pt idx="1">
                  <c:v>49</c:v>
                </c:pt>
              </c:numCache>
            </c:numRef>
          </c:xVal>
          <c:yVal>
            <c:numRef>
              <c:f>指数一般化!$I$39:$I$40</c:f>
              <c:numCache>
                <c:formatCode>0.0_ </c:formatCode>
                <c:ptCount val="2"/>
                <c:pt idx="0">
                  <c:v>114.4157142857143</c:v>
                </c:pt>
                <c:pt idx="1">
                  <c:v>114.4157142857143</c:v>
                </c:pt>
              </c:numCache>
            </c:numRef>
          </c:yVal>
          <c:smooth val="0"/>
          <c:extLst>
            <c:ext xmlns:c16="http://schemas.microsoft.com/office/drawing/2014/chart" uri="{C3380CC4-5D6E-409C-BE32-E72D297353CC}">
              <c16:uniqueId val="{00000003-0D84-4EA5-9E35-8A79F7FD32F8}"/>
            </c:ext>
          </c:extLst>
        </c:ser>
        <c:dLbls>
          <c:showLegendKey val="0"/>
          <c:showVal val="0"/>
          <c:showCatName val="0"/>
          <c:showSerName val="0"/>
          <c:showPercent val="0"/>
          <c:showBubbleSize val="0"/>
        </c:dLbls>
        <c:axId val="475923216"/>
        <c:axId val="475925176"/>
      </c:scatterChart>
      <c:valAx>
        <c:axId val="475923216"/>
        <c:scaling>
          <c:orientation val="minMax"/>
        </c:scaling>
        <c:delete val="0"/>
        <c:axPos val="b"/>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検証時間</a:t>
                </a:r>
                <a:r>
                  <a:rPr lang="en-US"/>
                  <a:t>or</a:t>
                </a:r>
                <a:r>
                  <a:rPr lang="ja-JP"/>
                  <a:t>消化数</a:t>
                </a:r>
                <a:endParaRPr lang="en-US"/>
              </a:p>
            </c:rich>
          </c:tx>
          <c:layout>
            <c:manualLayout>
              <c:xMode val="edge"/>
              <c:yMode val="edge"/>
              <c:x val="0.47882736156351791"/>
              <c:y val="0.91463414634146345"/>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25176"/>
        <c:crosses val="autoZero"/>
        <c:crossBetween val="midCat"/>
      </c:valAx>
      <c:valAx>
        <c:axId val="475925176"/>
        <c:scaling>
          <c:orientation val="minMax"/>
        </c:scaling>
        <c:delete val="0"/>
        <c:axPos val="l"/>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累積バグ数</a:t>
                </a:r>
              </a:p>
            </c:rich>
          </c:tx>
          <c:layout>
            <c:manualLayout>
              <c:xMode val="edge"/>
              <c:yMode val="edge"/>
              <c:x val="2.7687296416938109E-2"/>
              <c:y val="0.39512195121951221"/>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23216"/>
        <c:crosses val="autoZero"/>
        <c:crossBetween val="midCat"/>
      </c:valAx>
      <c:spPr>
        <a:noFill/>
        <a:ln w="25400">
          <a:noFill/>
        </a:ln>
      </c:spPr>
    </c:plotArea>
    <c:legend>
      <c:legendPos val="t"/>
      <c:layout>
        <c:manualLayout>
          <c:xMode val="edge"/>
          <c:yMode val="edge"/>
          <c:x val="8.1433224755700327E-3"/>
          <c:y val="3.4146341463414637E-2"/>
          <c:w val="0.93811074918566772"/>
          <c:h val="5.3658536585365853E-2"/>
        </c:manualLayout>
      </c:layout>
      <c:overlay val="0"/>
      <c:spPr>
        <a:solidFill>
          <a:srgbClr val="FFFFFF"/>
        </a:solidFill>
        <a:ln w="3175">
          <a:solidFill>
            <a:srgbClr val="000000"/>
          </a:solidFill>
          <a:prstDash val="solid"/>
        </a:ln>
        <a:effectLst/>
      </c:spPr>
      <c:txPr>
        <a:bodyPr/>
        <a:lstStyle/>
        <a:p>
          <a:pPr>
            <a:defRPr sz="1100" b="0" i="0" u="none" strike="noStrike" baseline="0">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6350">
      <a:noFill/>
    </a:ln>
  </c:spPr>
  <c:txPr>
    <a:bodyPr/>
    <a:lstStyle/>
    <a:p>
      <a:pPr>
        <a:defRPr sz="9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37785016286644"/>
          <c:y val="0.11463414634146342"/>
          <c:w val="0.86482084690553751"/>
          <c:h val="0.72682926829268291"/>
        </c:manualLayout>
      </c:layout>
      <c:scatterChart>
        <c:scatterStyle val="lineMarker"/>
        <c:varyColors val="0"/>
        <c:ser>
          <c:idx val="0"/>
          <c:order val="0"/>
          <c:tx>
            <c:v>累積バグ数</c:v>
          </c:tx>
          <c:spPr>
            <a:ln w="25400">
              <a:solidFill>
                <a:srgbClr val="000080"/>
              </a:solidFill>
              <a:prstDash val="solid"/>
            </a:ln>
          </c:spPr>
          <c:marker>
            <c:symbol val="diamond"/>
            <c:size val="7"/>
            <c:spPr>
              <a:solidFill>
                <a:srgbClr val="000080"/>
              </a:solidFill>
              <a:ln>
                <a:solidFill>
                  <a:srgbClr val="000080"/>
                </a:solidFill>
                <a:prstDash val="solid"/>
              </a:ln>
            </c:spPr>
          </c:marker>
          <c:xVal>
            <c:numRef>
              <c:f>習熟S字!$B$10:$B$17</c:f>
              <c:numCache>
                <c:formatCode>General</c:formatCode>
                <c:ptCount val="8"/>
                <c:pt idx="0">
                  <c:v>0</c:v>
                </c:pt>
                <c:pt idx="1">
                  <c:v>7</c:v>
                </c:pt>
                <c:pt idx="2">
                  <c:v>14</c:v>
                </c:pt>
                <c:pt idx="3">
                  <c:v>21</c:v>
                </c:pt>
                <c:pt idx="4">
                  <c:v>28</c:v>
                </c:pt>
                <c:pt idx="5">
                  <c:v>35</c:v>
                </c:pt>
                <c:pt idx="6">
                  <c:v>42</c:v>
                </c:pt>
                <c:pt idx="7">
                  <c:v>49</c:v>
                </c:pt>
              </c:numCache>
            </c:numRef>
          </c:xVal>
          <c:yVal>
            <c:numRef>
              <c:f>習熟S字!$C$10:$C$17</c:f>
              <c:numCache>
                <c:formatCode>General</c:formatCode>
                <c:ptCount val="8"/>
                <c:pt idx="0">
                  <c:v>1</c:v>
                </c:pt>
                <c:pt idx="1">
                  <c:v>67</c:v>
                </c:pt>
                <c:pt idx="2">
                  <c:v>81</c:v>
                </c:pt>
                <c:pt idx="3">
                  <c:v>99</c:v>
                </c:pt>
                <c:pt idx="4">
                  <c:v>117</c:v>
                </c:pt>
                <c:pt idx="5">
                  <c:v>132</c:v>
                </c:pt>
                <c:pt idx="6">
                  <c:v>147</c:v>
                </c:pt>
                <c:pt idx="7">
                  <c:v>166</c:v>
                </c:pt>
              </c:numCache>
            </c:numRef>
          </c:yVal>
          <c:smooth val="0"/>
          <c:extLst>
            <c:ext xmlns:c16="http://schemas.microsoft.com/office/drawing/2014/chart" uri="{C3380CC4-5D6E-409C-BE32-E72D297353CC}">
              <c16:uniqueId val="{00000000-F5F3-4D02-9A53-23C762D2EE7A}"/>
            </c:ext>
          </c:extLst>
        </c:ser>
        <c:ser>
          <c:idx val="1"/>
          <c:order val="1"/>
          <c:tx>
            <c:v>成長曲線</c:v>
          </c:tx>
          <c:spPr>
            <a:ln w="38100">
              <a:solidFill>
                <a:srgbClr val="FF00FF"/>
              </a:solidFill>
              <a:prstDash val="solid"/>
            </a:ln>
          </c:spPr>
          <c:marker>
            <c:symbol val="none"/>
          </c:marker>
          <c:xVal>
            <c:numRef>
              <c:f>習熟S字!$B$10:$B$17</c:f>
              <c:numCache>
                <c:formatCode>General</c:formatCode>
                <c:ptCount val="8"/>
                <c:pt idx="0">
                  <c:v>0</c:v>
                </c:pt>
                <c:pt idx="1">
                  <c:v>7</c:v>
                </c:pt>
                <c:pt idx="2">
                  <c:v>14</c:v>
                </c:pt>
                <c:pt idx="3">
                  <c:v>21</c:v>
                </c:pt>
                <c:pt idx="4">
                  <c:v>28</c:v>
                </c:pt>
                <c:pt idx="5">
                  <c:v>35</c:v>
                </c:pt>
                <c:pt idx="6">
                  <c:v>42</c:v>
                </c:pt>
                <c:pt idx="7">
                  <c:v>49</c:v>
                </c:pt>
              </c:numCache>
            </c:numRef>
          </c:xVal>
          <c:yVal>
            <c:numRef>
              <c:f>習熟S字!$D$10:$D$17</c:f>
              <c:numCache>
                <c:formatCode>0.00000_ </c:formatCode>
                <c:ptCount val="8"/>
                <c:pt idx="0">
                  <c:v>0</c:v>
                </c:pt>
                <c:pt idx="1">
                  <c:v>115.57142845831594</c:v>
                </c:pt>
                <c:pt idx="2">
                  <c:v>115.57142845890148</c:v>
                </c:pt>
                <c:pt idx="3">
                  <c:v>115.57142845890148</c:v>
                </c:pt>
                <c:pt idx="4">
                  <c:v>115.57142845890148</c:v>
                </c:pt>
                <c:pt idx="5">
                  <c:v>115.57142845890148</c:v>
                </c:pt>
                <c:pt idx="6">
                  <c:v>115.57142845890148</c:v>
                </c:pt>
                <c:pt idx="7">
                  <c:v>115.57142845890148</c:v>
                </c:pt>
              </c:numCache>
            </c:numRef>
          </c:yVal>
          <c:smooth val="1"/>
          <c:extLst>
            <c:ext xmlns:c16="http://schemas.microsoft.com/office/drawing/2014/chart" uri="{C3380CC4-5D6E-409C-BE32-E72D297353CC}">
              <c16:uniqueId val="{00000001-F5F3-4D02-9A53-23C762D2EE7A}"/>
            </c:ext>
          </c:extLst>
        </c:ser>
        <c:ser>
          <c:idx val="2"/>
          <c:order val="2"/>
          <c:tx>
            <c:v>95%推定障害除去率</c:v>
          </c:tx>
          <c:spPr>
            <a:ln w="25400">
              <a:solidFill>
                <a:srgbClr val="339966"/>
              </a:solidFill>
              <a:prstDash val="sysDash"/>
            </a:ln>
          </c:spPr>
          <c:marker>
            <c:symbol val="none"/>
          </c:marker>
          <c:xVal>
            <c:numRef>
              <c:f>習熟S字!$H$36:$H$37</c:f>
              <c:numCache>
                <c:formatCode>General</c:formatCode>
                <c:ptCount val="2"/>
                <c:pt idx="0">
                  <c:v>0</c:v>
                </c:pt>
                <c:pt idx="1">
                  <c:v>49</c:v>
                </c:pt>
              </c:numCache>
            </c:numRef>
          </c:xVal>
          <c:yVal>
            <c:numRef>
              <c:f>習熟S字!$I$36:$I$37</c:f>
              <c:numCache>
                <c:formatCode>0.0_ </c:formatCode>
                <c:ptCount val="2"/>
                <c:pt idx="0">
                  <c:v>109.7928570359564</c:v>
                </c:pt>
                <c:pt idx="1">
                  <c:v>109.7928570359564</c:v>
                </c:pt>
              </c:numCache>
            </c:numRef>
          </c:yVal>
          <c:smooth val="0"/>
          <c:extLst>
            <c:ext xmlns:c16="http://schemas.microsoft.com/office/drawing/2014/chart" uri="{C3380CC4-5D6E-409C-BE32-E72D297353CC}">
              <c16:uniqueId val="{00000002-F5F3-4D02-9A53-23C762D2EE7A}"/>
            </c:ext>
          </c:extLst>
        </c:ser>
        <c:ser>
          <c:idx val="3"/>
          <c:order val="3"/>
          <c:tx>
            <c:v>99%推定障害除去率</c:v>
          </c:tx>
          <c:spPr>
            <a:ln w="25400">
              <a:solidFill>
                <a:srgbClr val="FF9900"/>
              </a:solidFill>
              <a:prstDash val="sysDash"/>
            </a:ln>
          </c:spPr>
          <c:marker>
            <c:symbol val="none"/>
          </c:marker>
          <c:xVal>
            <c:numRef>
              <c:f>習熟S字!$H$39:$H$40</c:f>
              <c:numCache>
                <c:formatCode>General</c:formatCode>
                <c:ptCount val="2"/>
                <c:pt idx="0">
                  <c:v>0</c:v>
                </c:pt>
                <c:pt idx="1">
                  <c:v>49</c:v>
                </c:pt>
              </c:numCache>
            </c:numRef>
          </c:xVal>
          <c:yVal>
            <c:numRef>
              <c:f>習熟S字!$I$39:$I$40</c:f>
              <c:numCache>
                <c:formatCode>0.0_ </c:formatCode>
                <c:ptCount val="2"/>
                <c:pt idx="0">
                  <c:v>114.41571417431247</c:v>
                </c:pt>
                <c:pt idx="1">
                  <c:v>114.41571417431247</c:v>
                </c:pt>
              </c:numCache>
            </c:numRef>
          </c:yVal>
          <c:smooth val="0"/>
          <c:extLst>
            <c:ext xmlns:c16="http://schemas.microsoft.com/office/drawing/2014/chart" uri="{C3380CC4-5D6E-409C-BE32-E72D297353CC}">
              <c16:uniqueId val="{00000003-F5F3-4D02-9A53-23C762D2EE7A}"/>
            </c:ext>
          </c:extLst>
        </c:ser>
        <c:dLbls>
          <c:showLegendKey val="0"/>
          <c:showVal val="0"/>
          <c:showCatName val="0"/>
          <c:showSerName val="0"/>
          <c:showPercent val="0"/>
          <c:showBubbleSize val="0"/>
        </c:dLbls>
        <c:axId val="475931448"/>
        <c:axId val="475932232"/>
      </c:scatterChart>
      <c:valAx>
        <c:axId val="475931448"/>
        <c:scaling>
          <c:orientation val="minMax"/>
        </c:scaling>
        <c:delete val="0"/>
        <c:axPos val="b"/>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検証時間</a:t>
                </a:r>
                <a:r>
                  <a:rPr lang="en-US"/>
                  <a:t>or</a:t>
                </a:r>
                <a:r>
                  <a:rPr lang="ja-JP"/>
                  <a:t>検証消化数</a:t>
                </a:r>
                <a:endParaRPr lang="en-US"/>
              </a:p>
            </c:rich>
          </c:tx>
          <c:layout>
            <c:manualLayout>
              <c:xMode val="edge"/>
              <c:yMode val="edge"/>
              <c:x val="0.4771986970684039"/>
              <c:y val="0.91219512195121955"/>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32232"/>
        <c:crosses val="autoZero"/>
        <c:crossBetween val="midCat"/>
      </c:valAx>
      <c:valAx>
        <c:axId val="475932232"/>
        <c:scaling>
          <c:orientation val="minMax"/>
        </c:scaling>
        <c:delete val="0"/>
        <c:axPos val="l"/>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累積バグ数</a:t>
                </a:r>
              </a:p>
            </c:rich>
          </c:tx>
          <c:layout>
            <c:manualLayout>
              <c:xMode val="edge"/>
              <c:yMode val="edge"/>
              <c:x val="2.6058631921824105E-2"/>
              <c:y val="0.38292682926829269"/>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31448"/>
        <c:crosses val="autoZero"/>
        <c:crossBetween val="midCat"/>
      </c:valAx>
      <c:spPr>
        <a:noFill/>
        <a:ln w="25400">
          <a:noFill/>
        </a:ln>
      </c:spPr>
    </c:plotArea>
    <c:legend>
      <c:legendPos val="t"/>
      <c:layout>
        <c:manualLayout>
          <c:xMode val="edge"/>
          <c:yMode val="edge"/>
          <c:x val="4.071661237785016E-2"/>
          <c:y val="1.9512195121951219E-2"/>
          <c:w val="0.93811074918566772"/>
          <c:h val="5.3658536585365853E-2"/>
        </c:manualLayout>
      </c:layout>
      <c:overlay val="0"/>
      <c:spPr>
        <a:solidFill>
          <a:srgbClr val="FFFFFF"/>
        </a:solidFill>
        <a:ln w="3175">
          <a:solidFill>
            <a:srgbClr val="000000"/>
          </a:solidFill>
          <a:prstDash val="solid"/>
        </a:ln>
        <a:effectLst/>
      </c:spPr>
      <c:txPr>
        <a:bodyPr/>
        <a:lstStyle/>
        <a:p>
          <a:pPr>
            <a:defRPr sz="1100" b="0" i="0" u="none" strike="noStrike" baseline="0">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6350">
      <a:noFill/>
    </a:ln>
  </c:spPr>
  <c:txPr>
    <a:bodyPr/>
    <a:lstStyle/>
    <a:p>
      <a:pPr>
        <a:defRPr sz="9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37785016286644"/>
          <c:y val="0.11463414634146342"/>
          <c:w val="0.86482084690553751"/>
          <c:h val="0.72682926829268291"/>
        </c:manualLayout>
      </c:layout>
      <c:scatterChart>
        <c:scatterStyle val="lineMarker"/>
        <c:varyColors val="0"/>
        <c:ser>
          <c:idx val="0"/>
          <c:order val="0"/>
          <c:tx>
            <c:v>累積バグ数</c:v>
          </c:tx>
          <c:spPr>
            <a:ln w="25400">
              <a:solidFill>
                <a:srgbClr val="000080"/>
              </a:solidFill>
              <a:prstDash val="solid"/>
            </a:ln>
          </c:spPr>
          <c:marker>
            <c:symbol val="diamond"/>
            <c:size val="7"/>
            <c:spPr>
              <a:solidFill>
                <a:srgbClr val="000080"/>
              </a:solidFill>
              <a:ln>
                <a:solidFill>
                  <a:srgbClr val="000080"/>
                </a:solidFill>
                <a:prstDash val="solid"/>
              </a:ln>
            </c:spPr>
          </c:marker>
          <c:xVal>
            <c:numRef>
              <c:f>遅延S字!$B$10:$B$17</c:f>
              <c:numCache>
                <c:formatCode>General</c:formatCode>
                <c:ptCount val="8"/>
                <c:pt idx="0">
                  <c:v>0</c:v>
                </c:pt>
                <c:pt idx="1">
                  <c:v>7</c:v>
                </c:pt>
                <c:pt idx="2">
                  <c:v>14</c:v>
                </c:pt>
                <c:pt idx="3">
                  <c:v>21</c:v>
                </c:pt>
                <c:pt idx="4">
                  <c:v>28</c:v>
                </c:pt>
                <c:pt idx="5">
                  <c:v>35</c:v>
                </c:pt>
                <c:pt idx="6">
                  <c:v>42</c:v>
                </c:pt>
                <c:pt idx="7">
                  <c:v>49</c:v>
                </c:pt>
              </c:numCache>
            </c:numRef>
          </c:xVal>
          <c:yVal>
            <c:numRef>
              <c:f>遅延S字!$C$10:$C$17</c:f>
              <c:numCache>
                <c:formatCode>General</c:formatCode>
                <c:ptCount val="8"/>
                <c:pt idx="0">
                  <c:v>1</c:v>
                </c:pt>
                <c:pt idx="1">
                  <c:v>67</c:v>
                </c:pt>
                <c:pt idx="2">
                  <c:v>81</c:v>
                </c:pt>
                <c:pt idx="3">
                  <c:v>99</c:v>
                </c:pt>
                <c:pt idx="4">
                  <c:v>117</c:v>
                </c:pt>
                <c:pt idx="5">
                  <c:v>132</c:v>
                </c:pt>
                <c:pt idx="6">
                  <c:v>147</c:v>
                </c:pt>
                <c:pt idx="7">
                  <c:v>166</c:v>
                </c:pt>
              </c:numCache>
            </c:numRef>
          </c:yVal>
          <c:smooth val="0"/>
          <c:extLst>
            <c:ext xmlns:c16="http://schemas.microsoft.com/office/drawing/2014/chart" uri="{C3380CC4-5D6E-409C-BE32-E72D297353CC}">
              <c16:uniqueId val="{00000000-7259-47E5-906E-BDDF487D3FA3}"/>
            </c:ext>
          </c:extLst>
        </c:ser>
        <c:ser>
          <c:idx val="1"/>
          <c:order val="1"/>
          <c:tx>
            <c:v>成長曲線</c:v>
          </c:tx>
          <c:spPr>
            <a:ln w="38100">
              <a:solidFill>
                <a:srgbClr val="FF00FF"/>
              </a:solidFill>
              <a:prstDash val="solid"/>
            </a:ln>
          </c:spPr>
          <c:marker>
            <c:symbol val="none"/>
          </c:marker>
          <c:xVal>
            <c:numRef>
              <c:f>遅延S字!$B$10:$B$17</c:f>
              <c:numCache>
                <c:formatCode>General</c:formatCode>
                <c:ptCount val="8"/>
                <c:pt idx="0">
                  <c:v>0</c:v>
                </c:pt>
                <c:pt idx="1">
                  <c:v>7</c:v>
                </c:pt>
                <c:pt idx="2">
                  <c:v>14</c:v>
                </c:pt>
                <c:pt idx="3">
                  <c:v>21</c:v>
                </c:pt>
                <c:pt idx="4">
                  <c:v>28</c:v>
                </c:pt>
                <c:pt idx="5">
                  <c:v>35</c:v>
                </c:pt>
                <c:pt idx="6">
                  <c:v>42</c:v>
                </c:pt>
                <c:pt idx="7">
                  <c:v>49</c:v>
                </c:pt>
              </c:numCache>
            </c:numRef>
          </c:xVal>
          <c:yVal>
            <c:numRef>
              <c:f>遅延S字!$D$10:$D$17</c:f>
              <c:numCache>
                <c:formatCode>0.00000_ </c:formatCode>
                <c:ptCount val="8"/>
                <c:pt idx="0">
                  <c:v>0</c:v>
                </c:pt>
                <c:pt idx="1">
                  <c:v>34.140093231271841</c:v>
                </c:pt>
                <c:pt idx="2">
                  <c:v>80.389395671084984</c:v>
                </c:pt>
                <c:pt idx="3">
                  <c:v>112.21315714505432</c:v>
                </c:pt>
                <c:pt idx="4">
                  <c:v>130.38886650308913</c:v>
                </c:pt>
                <c:pt idx="5">
                  <c:v>139.88503663300327</c:v>
                </c:pt>
                <c:pt idx="6">
                  <c:v>144.5931331670555</c:v>
                </c:pt>
                <c:pt idx="7">
                  <c:v>146.84805942961864</c:v>
                </c:pt>
              </c:numCache>
            </c:numRef>
          </c:yVal>
          <c:smooth val="1"/>
          <c:extLst>
            <c:ext xmlns:c16="http://schemas.microsoft.com/office/drawing/2014/chart" uri="{C3380CC4-5D6E-409C-BE32-E72D297353CC}">
              <c16:uniqueId val="{00000001-7259-47E5-906E-BDDF487D3FA3}"/>
            </c:ext>
          </c:extLst>
        </c:ser>
        <c:ser>
          <c:idx val="2"/>
          <c:order val="2"/>
          <c:tx>
            <c:v>95%推定障害除去率</c:v>
          </c:tx>
          <c:spPr>
            <a:ln w="25400">
              <a:solidFill>
                <a:srgbClr val="339966"/>
              </a:solidFill>
              <a:prstDash val="sysDash"/>
            </a:ln>
          </c:spPr>
          <c:marker>
            <c:symbol val="none"/>
          </c:marker>
          <c:xVal>
            <c:numRef>
              <c:f>遅延S字!$H$36:$H$37</c:f>
              <c:numCache>
                <c:formatCode>General</c:formatCode>
                <c:ptCount val="2"/>
                <c:pt idx="0">
                  <c:v>0</c:v>
                </c:pt>
                <c:pt idx="1">
                  <c:v>49</c:v>
                </c:pt>
              </c:numCache>
            </c:numRef>
          </c:xVal>
          <c:yVal>
            <c:numRef>
              <c:f>遅延S字!$I$36:$I$37</c:f>
              <c:numCache>
                <c:formatCode>0.0_ </c:formatCode>
                <c:ptCount val="2"/>
                <c:pt idx="0">
                  <c:v>141.34028000084922</c:v>
                </c:pt>
                <c:pt idx="1">
                  <c:v>141.34028000084922</c:v>
                </c:pt>
              </c:numCache>
            </c:numRef>
          </c:yVal>
          <c:smooth val="0"/>
          <c:extLst>
            <c:ext xmlns:c16="http://schemas.microsoft.com/office/drawing/2014/chart" uri="{C3380CC4-5D6E-409C-BE32-E72D297353CC}">
              <c16:uniqueId val="{00000002-7259-47E5-906E-BDDF487D3FA3}"/>
            </c:ext>
          </c:extLst>
        </c:ser>
        <c:ser>
          <c:idx val="3"/>
          <c:order val="3"/>
          <c:tx>
            <c:v>99%推定障害除去率</c:v>
          </c:tx>
          <c:spPr>
            <a:ln w="25400">
              <a:solidFill>
                <a:srgbClr val="FF9900"/>
              </a:solidFill>
              <a:prstDash val="sysDash"/>
            </a:ln>
          </c:spPr>
          <c:marker>
            <c:symbol val="none"/>
          </c:marker>
          <c:xVal>
            <c:numRef>
              <c:f>遅延S字!$H$39:$H$40</c:f>
              <c:numCache>
                <c:formatCode>General</c:formatCode>
                <c:ptCount val="2"/>
                <c:pt idx="0">
                  <c:v>0</c:v>
                </c:pt>
                <c:pt idx="1">
                  <c:v>49</c:v>
                </c:pt>
              </c:numCache>
            </c:numRef>
          </c:xVal>
          <c:yVal>
            <c:numRef>
              <c:f>遅延S字!$I$39:$I$40</c:f>
              <c:numCache>
                <c:formatCode>0.0_ </c:formatCode>
                <c:ptCount val="2"/>
                <c:pt idx="0">
                  <c:v>147.2914496850955</c:v>
                </c:pt>
                <c:pt idx="1">
                  <c:v>147.2914496850955</c:v>
                </c:pt>
              </c:numCache>
            </c:numRef>
          </c:yVal>
          <c:smooth val="0"/>
          <c:extLst>
            <c:ext xmlns:c16="http://schemas.microsoft.com/office/drawing/2014/chart" uri="{C3380CC4-5D6E-409C-BE32-E72D297353CC}">
              <c16:uniqueId val="{00000003-7259-47E5-906E-BDDF487D3FA3}"/>
            </c:ext>
          </c:extLst>
        </c:ser>
        <c:dLbls>
          <c:showLegendKey val="0"/>
          <c:showVal val="0"/>
          <c:showCatName val="0"/>
          <c:showSerName val="0"/>
          <c:showPercent val="0"/>
          <c:showBubbleSize val="0"/>
        </c:dLbls>
        <c:axId val="475938112"/>
        <c:axId val="475939288"/>
      </c:scatterChart>
      <c:valAx>
        <c:axId val="475938112"/>
        <c:scaling>
          <c:orientation val="minMax"/>
        </c:scaling>
        <c:delete val="0"/>
        <c:axPos val="b"/>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検証時間</a:t>
                </a:r>
                <a:r>
                  <a:rPr lang="en-US"/>
                  <a:t>or</a:t>
                </a:r>
                <a:r>
                  <a:rPr lang="ja-JP"/>
                  <a:t>検証消化数</a:t>
                </a:r>
                <a:endParaRPr lang="en-US"/>
              </a:p>
            </c:rich>
          </c:tx>
          <c:layout>
            <c:manualLayout>
              <c:xMode val="edge"/>
              <c:yMode val="edge"/>
              <c:x val="0.4771986970684039"/>
              <c:y val="0.91219512195121955"/>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39288"/>
        <c:crosses val="autoZero"/>
        <c:crossBetween val="midCat"/>
      </c:valAx>
      <c:valAx>
        <c:axId val="475939288"/>
        <c:scaling>
          <c:orientation val="minMax"/>
        </c:scaling>
        <c:delete val="0"/>
        <c:axPos val="l"/>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累積バグ数</a:t>
                </a:r>
              </a:p>
            </c:rich>
          </c:tx>
          <c:layout>
            <c:manualLayout>
              <c:xMode val="edge"/>
              <c:yMode val="edge"/>
              <c:x val="2.6058631921824105E-2"/>
              <c:y val="0.38292682926829269"/>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38112"/>
        <c:crosses val="autoZero"/>
        <c:crossBetween val="midCat"/>
      </c:valAx>
      <c:spPr>
        <a:noFill/>
        <a:ln w="25400">
          <a:noFill/>
        </a:ln>
      </c:spPr>
    </c:plotArea>
    <c:legend>
      <c:legendPos val="t"/>
      <c:layout>
        <c:manualLayout>
          <c:xMode val="edge"/>
          <c:yMode val="edge"/>
          <c:x val="4.071661237785016E-2"/>
          <c:y val="1.9512195121951219E-2"/>
          <c:w val="0.93811074918566772"/>
          <c:h val="5.3658536585365853E-2"/>
        </c:manualLayout>
      </c:layout>
      <c:overlay val="0"/>
      <c:spPr>
        <a:solidFill>
          <a:srgbClr val="FFFFFF"/>
        </a:solidFill>
        <a:ln w="3175">
          <a:solidFill>
            <a:srgbClr val="000000"/>
          </a:solidFill>
          <a:prstDash val="solid"/>
        </a:ln>
        <a:effectLst/>
      </c:spPr>
      <c:txPr>
        <a:bodyPr/>
        <a:lstStyle/>
        <a:p>
          <a:pPr>
            <a:defRPr sz="1100" b="0" i="0" u="none" strike="noStrike" baseline="0">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6350">
      <a:noFill/>
    </a:ln>
  </c:spPr>
  <c:txPr>
    <a:bodyPr/>
    <a:lstStyle/>
    <a:p>
      <a:pPr>
        <a:defRPr sz="9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37785016286644"/>
          <c:y val="0.11463414634146342"/>
          <c:w val="0.86482084690553751"/>
          <c:h val="0.72682926829268291"/>
        </c:manualLayout>
      </c:layout>
      <c:scatterChart>
        <c:scatterStyle val="lineMarker"/>
        <c:varyColors val="0"/>
        <c:ser>
          <c:idx val="0"/>
          <c:order val="0"/>
          <c:tx>
            <c:v>累積バグ数</c:v>
          </c:tx>
          <c:spPr>
            <a:ln w="25400">
              <a:solidFill>
                <a:srgbClr val="000080"/>
              </a:solidFill>
              <a:prstDash val="solid"/>
            </a:ln>
          </c:spPr>
          <c:marker>
            <c:symbol val="diamond"/>
            <c:size val="7"/>
            <c:spPr>
              <a:solidFill>
                <a:srgbClr val="000080"/>
              </a:solidFill>
              <a:ln>
                <a:solidFill>
                  <a:srgbClr val="000080"/>
                </a:solidFill>
                <a:prstDash val="solid"/>
              </a:ln>
            </c:spPr>
          </c:marker>
          <c:xVal>
            <c:numRef>
              <c:f>習熟S字_3変数!$B$10:$B$17</c:f>
              <c:numCache>
                <c:formatCode>General</c:formatCode>
                <c:ptCount val="8"/>
                <c:pt idx="0">
                  <c:v>0</c:v>
                </c:pt>
                <c:pt idx="1">
                  <c:v>7</c:v>
                </c:pt>
                <c:pt idx="2">
                  <c:v>14</c:v>
                </c:pt>
                <c:pt idx="3">
                  <c:v>21</c:v>
                </c:pt>
                <c:pt idx="4">
                  <c:v>28</c:v>
                </c:pt>
                <c:pt idx="5">
                  <c:v>35</c:v>
                </c:pt>
                <c:pt idx="6">
                  <c:v>42</c:v>
                </c:pt>
                <c:pt idx="7">
                  <c:v>49</c:v>
                </c:pt>
              </c:numCache>
            </c:numRef>
          </c:xVal>
          <c:yVal>
            <c:numRef>
              <c:f>習熟S字_3変数!$C$10:$C$17</c:f>
              <c:numCache>
                <c:formatCode>General</c:formatCode>
                <c:ptCount val="8"/>
                <c:pt idx="0">
                  <c:v>1</c:v>
                </c:pt>
                <c:pt idx="1">
                  <c:v>67</c:v>
                </c:pt>
                <c:pt idx="2">
                  <c:v>81</c:v>
                </c:pt>
                <c:pt idx="3">
                  <c:v>99</c:v>
                </c:pt>
                <c:pt idx="4">
                  <c:v>117</c:v>
                </c:pt>
                <c:pt idx="5">
                  <c:v>132</c:v>
                </c:pt>
                <c:pt idx="6">
                  <c:v>147</c:v>
                </c:pt>
                <c:pt idx="7">
                  <c:v>166</c:v>
                </c:pt>
              </c:numCache>
            </c:numRef>
          </c:yVal>
          <c:smooth val="0"/>
          <c:extLst>
            <c:ext xmlns:c16="http://schemas.microsoft.com/office/drawing/2014/chart" uri="{C3380CC4-5D6E-409C-BE32-E72D297353CC}">
              <c16:uniqueId val="{00000000-1A86-4459-B8EC-67F769294766}"/>
            </c:ext>
          </c:extLst>
        </c:ser>
        <c:ser>
          <c:idx val="1"/>
          <c:order val="1"/>
          <c:tx>
            <c:v>成長曲線</c:v>
          </c:tx>
          <c:spPr>
            <a:ln w="38100">
              <a:solidFill>
                <a:srgbClr val="FF00FF"/>
              </a:solidFill>
              <a:prstDash val="solid"/>
            </a:ln>
          </c:spPr>
          <c:marker>
            <c:symbol val="none"/>
          </c:marker>
          <c:xVal>
            <c:numRef>
              <c:f>習熟S字_3変数!$B$10:$B$17</c:f>
              <c:numCache>
                <c:formatCode>General</c:formatCode>
                <c:ptCount val="8"/>
                <c:pt idx="0">
                  <c:v>0</c:v>
                </c:pt>
                <c:pt idx="1">
                  <c:v>7</c:v>
                </c:pt>
                <c:pt idx="2">
                  <c:v>14</c:v>
                </c:pt>
                <c:pt idx="3">
                  <c:v>21</c:v>
                </c:pt>
                <c:pt idx="4">
                  <c:v>28</c:v>
                </c:pt>
                <c:pt idx="5">
                  <c:v>35</c:v>
                </c:pt>
                <c:pt idx="6">
                  <c:v>42</c:v>
                </c:pt>
                <c:pt idx="7">
                  <c:v>49</c:v>
                </c:pt>
              </c:numCache>
            </c:numRef>
          </c:xVal>
          <c:yVal>
            <c:numRef>
              <c:f>習熟S字_3変数!$D$10:$D$17</c:f>
              <c:numCache>
                <c:formatCode>0.00000_ </c:formatCode>
                <c:ptCount val="8"/>
                <c:pt idx="0">
                  <c:v>0</c:v>
                </c:pt>
                <c:pt idx="1">
                  <c:v>115.57142832973709</c:v>
                </c:pt>
                <c:pt idx="2">
                  <c:v>115.57142832973709</c:v>
                </c:pt>
                <c:pt idx="3">
                  <c:v>115.57142832973709</c:v>
                </c:pt>
                <c:pt idx="4">
                  <c:v>115.57142832973709</c:v>
                </c:pt>
                <c:pt idx="5">
                  <c:v>115.57142832973709</c:v>
                </c:pt>
                <c:pt idx="6">
                  <c:v>115.57142832973709</c:v>
                </c:pt>
                <c:pt idx="7">
                  <c:v>115.57142832973709</c:v>
                </c:pt>
              </c:numCache>
            </c:numRef>
          </c:yVal>
          <c:smooth val="1"/>
          <c:extLst>
            <c:ext xmlns:c16="http://schemas.microsoft.com/office/drawing/2014/chart" uri="{C3380CC4-5D6E-409C-BE32-E72D297353CC}">
              <c16:uniqueId val="{00000001-1A86-4459-B8EC-67F769294766}"/>
            </c:ext>
          </c:extLst>
        </c:ser>
        <c:ser>
          <c:idx val="2"/>
          <c:order val="2"/>
          <c:tx>
            <c:v>95%推定障害除去率</c:v>
          </c:tx>
          <c:spPr>
            <a:ln w="25400">
              <a:solidFill>
                <a:srgbClr val="339966"/>
              </a:solidFill>
              <a:prstDash val="sysDash"/>
            </a:ln>
          </c:spPr>
          <c:marker>
            <c:symbol val="none"/>
          </c:marker>
          <c:xVal>
            <c:numRef>
              <c:f>習熟S字_3変数!$H$36:$H$37</c:f>
              <c:numCache>
                <c:formatCode>General</c:formatCode>
                <c:ptCount val="2"/>
                <c:pt idx="0">
                  <c:v>0</c:v>
                </c:pt>
                <c:pt idx="1">
                  <c:v>49</c:v>
                </c:pt>
              </c:numCache>
            </c:numRef>
          </c:xVal>
          <c:yVal>
            <c:numRef>
              <c:f>習熟S字_3変数!$I$36:$I$37</c:f>
              <c:numCache>
                <c:formatCode>0.0_ </c:formatCode>
                <c:ptCount val="2"/>
                <c:pt idx="0">
                  <c:v>109.79285691325023</c:v>
                </c:pt>
                <c:pt idx="1">
                  <c:v>109.79285691325023</c:v>
                </c:pt>
              </c:numCache>
            </c:numRef>
          </c:yVal>
          <c:smooth val="0"/>
          <c:extLst>
            <c:ext xmlns:c16="http://schemas.microsoft.com/office/drawing/2014/chart" uri="{C3380CC4-5D6E-409C-BE32-E72D297353CC}">
              <c16:uniqueId val="{00000002-1A86-4459-B8EC-67F769294766}"/>
            </c:ext>
          </c:extLst>
        </c:ser>
        <c:ser>
          <c:idx val="3"/>
          <c:order val="3"/>
          <c:tx>
            <c:v>99%推定障害除去率</c:v>
          </c:tx>
          <c:spPr>
            <a:ln w="25400">
              <a:solidFill>
                <a:srgbClr val="FF9900"/>
              </a:solidFill>
              <a:prstDash val="sysDash"/>
            </a:ln>
          </c:spPr>
          <c:marker>
            <c:symbol val="none"/>
          </c:marker>
          <c:xVal>
            <c:numRef>
              <c:f>習熟S字_3変数!$H$39:$H$40</c:f>
              <c:numCache>
                <c:formatCode>General</c:formatCode>
                <c:ptCount val="2"/>
                <c:pt idx="0">
                  <c:v>0</c:v>
                </c:pt>
                <c:pt idx="1">
                  <c:v>49</c:v>
                </c:pt>
              </c:numCache>
            </c:numRef>
          </c:xVal>
          <c:yVal>
            <c:numRef>
              <c:f>習熟S字_3変数!$I$39:$I$40</c:f>
              <c:numCache>
                <c:formatCode>0.0_ </c:formatCode>
                <c:ptCount val="2"/>
                <c:pt idx="0">
                  <c:v>114.41571404643972</c:v>
                </c:pt>
                <c:pt idx="1">
                  <c:v>114.41571404643972</c:v>
                </c:pt>
              </c:numCache>
            </c:numRef>
          </c:yVal>
          <c:smooth val="0"/>
          <c:extLst>
            <c:ext xmlns:c16="http://schemas.microsoft.com/office/drawing/2014/chart" uri="{C3380CC4-5D6E-409C-BE32-E72D297353CC}">
              <c16:uniqueId val="{00000003-1A86-4459-B8EC-67F769294766}"/>
            </c:ext>
          </c:extLst>
        </c:ser>
        <c:dLbls>
          <c:showLegendKey val="0"/>
          <c:showVal val="0"/>
          <c:showCatName val="0"/>
          <c:showSerName val="0"/>
          <c:showPercent val="0"/>
          <c:showBubbleSize val="0"/>
        </c:dLbls>
        <c:axId val="475931448"/>
        <c:axId val="475932232"/>
      </c:scatterChart>
      <c:valAx>
        <c:axId val="475931448"/>
        <c:scaling>
          <c:orientation val="minMax"/>
        </c:scaling>
        <c:delete val="0"/>
        <c:axPos val="b"/>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検証時間</a:t>
                </a:r>
                <a:r>
                  <a:rPr lang="en-US"/>
                  <a:t>or</a:t>
                </a:r>
                <a:r>
                  <a:rPr lang="ja-JP"/>
                  <a:t>検証消化数</a:t>
                </a:r>
                <a:endParaRPr lang="en-US"/>
              </a:p>
            </c:rich>
          </c:tx>
          <c:layout>
            <c:manualLayout>
              <c:xMode val="edge"/>
              <c:yMode val="edge"/>
              <c:x val="0.4771986970684039"/>
              <c:y val="0.91219512195121955"/>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32232"/>
        <c:crosses val="autoZero"/>
        <c:crossBetween val="midCat"/>
      </c:valAx>
      <c:valAx>
        <c:axId val="475932232"/>
        <c:scaling>
          <c:orientation val="minMax"/>
        </c:scaling>
        <c:delete val="0"/>
        <c:axPos val="l"/>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累積バグ数</a:t>
                </a:r>
              </a:p>
            </c:rich>
          </c:tx>
          <c:layout>
            <c:manualLayout>
              <c:xMode val="edge"/>
              <c:yMode val="edge"/>
              <c:x val="2.6058631921824105E-2"/>
              <c:y val="0.38292682926829269"/>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31448"/>
        <c:crosses val="autoZero"/>
        <c:crossBetween val="midCat"/>
      </c:valAx>
      <c:spPr>
        <a:noFill/>
        <a:ln w="25400">
          <a:noFill/>
        </a:ln>
      </c:spPr>
    </c:plotArea>
    <c:legend>
      <c:legendPos val="t"/>
      <c:layout>
        <c:manualLayout>
          <c:xMode val="edge"/>
          <c:yMode val="edge"/>
          <c:x val="4.071661237785016E-2"/>
          <c:y val="1.9512195121951219E-2"/>
          <c:w val="0.93811074918566772"/>
          <c:h val="5.3658536585365853E-2"/>
        </c:manualLayout>
      </c:layout>
      <c:overlay val="0"/>
      <c:spPr>
        <a:solidFill>
          <a:srgbClr val="FFFFFF"/>
        </a:solidFill>
        <a:ln w="3175">
          <a:solidFill>
            <a:srgbClr val="000000"/>
          </a:solidFill>
          <a:prstDash val="solid"/>
        </a:ln>
        <a:effectLst/>
      </c:spPr>
      <c:txPr>
        <a:bodyPr/>
        <a:lstStyle/>
        <a:p>
          <a:pPr>
            <a:defRPr sz="1100" b="0" i="0" u="none" strike="noStrike" baseline="0">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6350">
      <a:noFill/>
    </a:ln>
  </c:spPr>
  <c:txPr>
    <a:bodyPr/>
    <a:lstStyle/>
    <a:p>
      <a:pPr>
        <a:defRPr sz="9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37785016286644"/>
          <c:y val="0.11463414634146342"/>
          <c:w val="0.86482084690553751"/>
          <c:h val="0.72682926829268291"/>
        </c:manualLayout>
      </c:layout>
      <c:scatterChart>
        <c:scatterStyle val="lineMarker"/>
        <c:varyColors val="0"/>
        <c:ser>
          <c:idx val="0"/>
          <c:order val="0"/>
          <c:tx>
            <c:v>累積バグ数</c:v>
          </c:tx>
          <c:spPr>
            <a:ln w="25400">
              <a:solidFill>
                <a:srgbClr val="000080"/>
              </a:solidFill>
              <a:prstDash val="solid"/>
            </a:ln>
          </c:spPr>
          <c:marker>
            <c:symbol val="diamond"/>
            <c:size val="7"/>
            <c:spPr>
              <a:solidFill>
                <a:srgbClr val="000080"/>
              </a:solidFill>
              <a:ln>
                <a:solidFill>
                  <a:srgbClr val="000080"/>
                </a:solidFill>
                <a:prstDash val="solid"/>
              </a:ln>
            </c:spPr>
          </c:marker>
          <c:xVal>
            <c:numRef>
              <c:f>修正指数!$B$10:$B$17</c:f>
              <c:numCache>
                <c:formatCode>General</c:formatCode>
                <c:ptCount val="8"/>
                <c:pt idx="0">
                  <c:v>0</c:v>
                </c:pt>
                <c:pt idx="1">
                  <c:v>7</c:v>
                </c:pt>
                <c:pt idx="2">
                  <c:v>14</c:v>
                </c:pt>
                <c:pt idx="3">
                  <c:v>21</c:v>
                </c:pt>
                <c:pt idx="4">
                  <c:v>28</c:v>
                </c:pt>
                <c:pt idx="5">
                  <c:v>35</c:v>
                </c:pt>
                <c:pt idx="6">
                  <c:v>42</c:v>
                </c:pt>
                <c:pt idx="7">
                  <c:v>49</c:v>
                </c:pt>
              </c:numCache>
            </c:numRef>
          </c:xVal>
          <c:yVal>
            <c:numRef>
              <c:f>修正指数!$C$10:$C$17</c:f>
              <c:numCache>
                <c:formatCode>General</c:formatCode>
                <c:ptCount val="8"/>
                <c:pt idx="0">
                  <c:v>1</c:v>
                </c:pt>
                <c:pt idx="1">
                  <c:v>67</c:v>
                </c:pt>
                <c:pt idx="2">
                  <c:v>81</c:v>
                </c:pt>
                <c:pt idx="3">
                  <c:v>99</c:v>
                </c:pt>
                <c:pt idx="4">
                  <c:v>117</c:v>
                </c:pt>
                <c:pt idx="5">
                  <c:v>132</c:v>
                </c:pt>
                <c:pt idx="6">
                  <c:v>147</c:v>
                </c:pt>
                <c:pt idx="7">
                  <c:v>166</c:v>
                </c:pt>
              </c:numCache>
            </c:numRef>
          </c:yVal>
          <c:smooth val="0"/>
          <c:extLst>
            <c:ext xmlns:c16="http://schemas.microsoft.com/office/drawing/2014/chart" uri="{C3380CC4-5D6E-409C-BE32-E72D297353CC}">
              <c16:uniqueId val="{00000000-617B-42A2-B2DE-F8E3BDE7ABD6}"/>
            </c:ext>
          </c:extLst>
        </c:ser>
        <c:ser>
          <c:idx val="1"/>
          <c:order val="1"/>
          <c:tx>
            <c:v>成長曲線</c:v>
          </c:tx>
          <c:spPr>
            <a:ln w="38100">
              <a:solidFill>
                <a:srgbClr val="FF00FF"/>
              </a:solidFill>
              <a:prstDash val="solid"/>
            </a:ln>
          </c:spPr>
          <c:marker>
            <c:symbol val="none"/>
          </c:marker>
          <c:xVal>
            <c:numRef>
              <c:f>修正指数!$B$10:$B$17</c:f>
              <c:numCache>
                <c:formatCode>General</c:formatCode>
                <c:ptCount val="8"/>
                <c:pt idx="0">
                  <c:v>0</c:v>
                </c:pt>
                <c:pt idx="1">
                  <c:v>7</c:v>
                </c:pt>
                <c:pt idx="2">
                  <c:v>14</c:v>
                </c:pt>
                <c:pt idx="3">
                  <c:v>21</c:v>
                </c:pt>
                <c:pt idx="4">
                  <c:v>28</c:v>
                </c:pt>
                <c:pt idx="5">
                  <c:v>35</c:v>
                </c:pt>
                <c:pt idx="6">
                  <c:v>42</c:v>
                </c:pt>
                <c:pt idx="7">
                  <c:v>49</c:v>
                </c:pt>
              </c:numCache>
            </c:numRef>
          </c:xVal>
          <c:yVal>
            <c:numRef>
              <c:f>修正指数!$D$10:$D$17</c:f>
              <c:numCache>
                <c:formatCode>0.00000_ </c:formatCode>
                <c:ptCount val="8"/>
                <c:pt idx="0">
                  <c:v>0</c:v>
                </c:pt>
                <c:pt idx="1">
                  <c:v>46.354715224923581</c:v>
                </c:pt>
                <c:pt idx="2">
                  <c:v>80.533528718718273</c:v>
                </c:pt>
                <c:pt idx="3">
                  <c:v>105.73466060304274</c:v>
                </c:pt>
                <c:pt idx="4">
                  <c:v>124.31626082056992</c:v>
                </c:pt>
                <c:pt idx="5">
                  <c:v>138.01706871399523</c:v>
                </c:pt>
                <c:pt idx="6">
                  <c:v>148.11911238811783</c:v>
                </c:pt>
                <c:pt idx="7">
                  <c:v>155.56767215099524</c:v>
                </c:pt>
              </c:numCache>
            </c:numRef>
          </c:yVal>
          <c:smooth val="1"/>
          <c:extLst>
            <c:ext xmlns:c16="http://schemas.microsoft.com/office/drawing/2014/chart" uri="{C3380CC4-5D6E-409C-BE32-E72D297353CC}">
              <c16:uniqueId val="{00000001-617B-42A2-B2DE-F8E3BDE7ABD6}"/>
            </c:ext>
          </c:extLst>
        </c:ser>
        <c:ser>
          <c:idx val="2"/>
          <c:order val="2"/>
          <c:tx>
            <c:v>95%推定障害除去率</c:v>
          </c:tx>
          <c:spPr>
            <a:ln w="25400">
              <a:solidFill>
                <a:srgbClr val="339966"/>
              </a:solidFill>
              <a:prstDash val="sysDash"/>
            </a:ln>
          </c:spPr>
          <c:marker>
            <c:symbol val="none"/>
          </c:marker>
          <c:xVal>
            <c:numRef>
              <c:f>修正指数!$H$36:$H$37</c:f>
              <c:numCache>
                <c:formatCode>General</c:formatCode>
                <c:ptCount val="2"/>
                <c:pt idx="0">
                  <c:v>0</c:v>
                </c:pt>
                <c:pt idx="1">
                  <c:v>49</c:v>
                </c:pt>
              </c:numCache>
            </c:numRef>
          </c:xVal>
          <c:yVal>
            <c:numRef>
              <c:f>修正指数!$I$36:$I$37</c:f>
              <c:numCache>
                <c:formatCode>0.0_ </c:formatCode>
                <c:ptCount val="2"/>
                <c:pt idx="0">
                  <c:v>167.65260491432326</c:v>
                </c:pt>
                <c:pt idx="1">
                  <c:v>167.65260491432326</c:v>
                </c:pt>
              </c:numCache>
            </c:numRef>
          </c:yVal>
          <c:smooth val="0"/>
          <c:extLst>
            <c:ext xmlns:c16="http://schemas.microsoft.com/office/drawing/2014/chart" uri="{C3380CC4-5D6E-409C-BE32-E72D297353CC}">
              <c16:uniqueId val="{00000002-617B-42A2-B2DE-F8E3BDE7ABD6}"/>
            </c:ext>
          </c:extLst>
        </c:ser>
        <c:ser>
          <c:idx val="3"/>
          <c:order val="3"/>
          <c:tx>
            <c:v>99%推定障害除去率</c:v>
          </c:tx>
          <c:spPr>
            <a:ln w="25400">
              <a:solidFill>
                <a:srgbClr val="FF9900"/>
              </a:solidFill>
              <a:prstDash val="sysDash"/>
            </a:ln>
          </c:spPr>
          <c:marker>
            <c:symbol val="none"/>
          </c:marker>
          <c:xVal>
            <c:numRef>
              <c:f>修正指数!$H$39:$H$40</c:f>
              <c:numCache>
                <c:formatCode>General</c:formatCode>
                <c:ptCount val="2"/>
                <c:pt idx="0">
                  <c:v>0</c:v>
                </c:pt>
                <c:pt idx="1">
                  <c:v>49</c:v>
                </c:pt>
              </c:numCache>
            </c:numRef>
          </c:xVal>
          <c:yVal>
            <c:numRef>
              <c:f>修正指数!$I$39:$I$40</c:f>
              <c:numCache>
                <c:formatCode>0.0_ </c:formatCode>
                <c:ptCount val="2"/>
                <c:pt idx="0">
                  <c:v>174.71166196334741</c:v>
                </c:pt>
                <c:pt idx="1">
                  <c:v>174.71166196334741</c:v>
                </c:pt>
              </c:numCache>
            </c:numRef>
          </c:yVal>
          <c:smooth val="0"/>
          <c:extLst>
            <c:ext xmlns:c16="http://schemas.microsoft.com/office/drawing/2014/chart" uri="{C3380CC4-5D6E-409C-BE32-E72D297353CC}">
              <c16:uniqueId val="{00000003-617B-42A2-B2DE-F8E3BDE7ABD6}"/>
            </c:ext>
          </c:extLst>
        </c:ser>
        <c:dLbls>
          <c:showLegendKey val="0"/>
          <c:showVal val="0"/>
          <c:showCatName val="0"/>
          <c:showSerName val="0"/>
          <c:showPercent val="0"/>
          <c:showBubbleSize val="0"/>
        </c:dLbls>
        <c:axId val="475931448"/>
        <c:axId val="475932232"/>
      </c:scatterChart>
      <c:valAx>
        <c:axId val="475931448"/>
        <c:scaling>
          <c:orientation val="minMax"/>
        </c:scaling>
        <c:delete val="0"/>
        <c:axPos val="b"/>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検証時間</a:t>
                </a:r>
                <a:r>
                  <a:rPr lang="en-US"/>
                  <a:t>or</a:t>
                </a:r>
                <a:r>
                  <a:rPr lang="ja-JP"/>
                  <a:t>検証消化数</a:t>
                </a:r>
                <a:endParaRPr lang="en-US"/>
              </a:p>
            </c:rich>
          </c:tx>
          <c:layout>
            <c:manualLayout>
              <c:xMode val="edge"/>
              <c:yMode val="edge"/>
              <c:x val="0.4771986970684039"/>
              <c:y val="0.91219512195121955"/>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32232"/>
        <c:crosses val="autoZero"/>
        <c:crossBetween val="midCat"/>
      </c:valAx>
      <c:valAx>
        <c:axId val="475932232"/>
        <c:scaling>
          <c:orientation val="minMax"/>
        </c:scaling>
        <c:delete val="0"/>
        <c:axPos val="l"/>
        <c:majorGridlines>
          <c:spPr>
            <a:ln w="12700">
              <a:solidFill>
                <a:srgbClr val="C0C0C0"/>
              </a:solidFill>
              <a:prstDash val="solid"/>
            </a:ln>
          </c:spPr>
        </c:majorGridlines>
        <c:title>
          <c:tx>
            <c:rich>
              <a:bodyPr/>
              <a:lstStyle/>
              <a:p>
                <a:pPr>
                  <a:defRPr altLang="en-US" sz="1100" b="1" i="0" u="none" strike="noStrike" baseline="0">
                    <a:latin typeface="ＭＳ Ｐゴシック"/>
                    <a:ea typeface="ＭＳ Ｐゴシック"/>
                    <a:cs typeface="ＭＳ Ｐゴシック"/>
                  </a:defRPr>
                </a:pPr>
                <a:r>
                  <a:rPr lang="ja-JP"/>
                  <a:t>累積バグ数</a:t>
                </a:r>
              </a:p>
            </c:rich>
          </c:tx>
          <c:layout>
            <c:manualLayout>
              <c:xMode val="edge"/>
              <c:yMode val="edge"/>
              <c:x val="2.6058631921824105E-2"/>
              <c:y val="0.38292682926829269"/>
            </c:manualLayout>
          </c:layout>
          <c:overlay val="0"/>
          <c:spPr>
            <a:noFill/>
            <a:ln w="25400">
              <a:noFill/>
            </a:ln>
            <a:effectLst/>
          </c:spPr>
        </c:title>
        <c:numFmt formatCode="General" sourceLinked="1"/>
        <c:majorTickMark val="none"/>
        <c:minorTickMark val="none"/>
        <c:tickLblPos val="nextTo"/>
        <c:spPr>
          <a:ln w="25400">
            <a:solidFill>
              <a:srgbClr val="000000"/>
            </a:solidFill>
            <a:prstDash val="solid"/>
          </a:ln>
          <a:effectLst/>
        </c:spPr>
        <c:txPr>
          <a:bodyPr rot="0" vert="horz"/>
          <a:lstStyle/>
          <a:p>
            <a:pPr>
              <a:defRPr sz="1100" b="1" i="0" u="none" strike="noStrike" baseline="0">
                <a:latin typeface="ＭＳ Ｐゴシック"/>
                <a:ea typeface="ＭＳ Ｐゴシック"/>
                <a:cs typeface="ＭＳ Ｐゴシック"/>
              </a:defRPr>
            </a:pPr>
            <a:endParaRPr lang="ja-JP"/>
          </a:p>
        </c:txPr>
        <c:crossAx val="475931448"/>
        <c:crosses val="autoZero"/>
        <c:crossBetween val="midCat"/>
      </c:valAx>
      <c:spPr>
        <a:noFill/>
        <a:ln w="25400">
          <a:noFill/>
        </a:ln>
      </c:spPr>
    </c:plotArea>
    <c:legend>
      <c:legendPos val="t"/>
      <c:layout>
        <c:manualLayout>
          <c:xMode val="edge"/>
          <c:yMode val="edge"/>
          <c:x val="4.071661237785016E-2"/>
          <c:y val="1.9512195121951219E-2"/>
          <c:w val="0.93811074918566772"/>
          <c:h val="5.3658536585365853E-2"/>
        </c:manualLayout>
      </c:layout>
      <c:overlay val="0"/>
      <c:spPr>
        <a:solidFill>
          <a:srgbClr val="FFFFFF"/>
        </a:solidFill>
        <a:ln w="3175">
          <a:solidFill>
            <a:srgbClr val="000000"/>
          </a:solidFill>
          <a:prstDash val="solid"/>
        </a:ln>
        <a:effectLst/>
      </c:spPr>
      <c:txPr>
        <a:bodyPr/>
        <a:lstStyle/>
        <a:p>
          <a:pPr>
            <a:defRPr sz="1100" b="0" i="0" u="none" strike="noStrike" baseline="0">
              <a:latin typeface="ＭＳ Ｐゴシック"/>
              <a:ea typeface="ＭＳ Ｐゴシック"/>
              <a:cs typeface="ＭＳ Ｐゴシック"/>
            </a:defRPr>
          </a:pPr>
          <a:endParaRPr lang="ja-JP"/>
        </a:p>
      </c:txPr>
    </c:legend>
    <c:plotVisOnly val="1"/>
    <c:dispBlanksAs val="gap"/>
    <c:showDLblsOverMax val="0"/>
  </c:chart>
  <c:spPr>
    <a:solidFill>
      <a:srgbClr val="FFFFFF"/>
    </a:solidFill>
    <a:ln w="6350">
      <a:noFill/>
    </a:ln>
  </c:spPr>
  <c:txPr>
    <a:bodyPr/>
    <a:lstStyle/>
    <a:p>
      <a:pPr>
        <a:defRPr sz="900" b="0" i="0" u="none" strike="noStrike" baseline="0">
          <a:solidFill>
            <a:srgbClr val="000000"/>
          </a:solidFill>
          <a:latin typeface="ＭＳ Ｐゴシック"/>
          <a:ea typeface="ＭＳ Ｐゴシック"/>
          <a:cs typeface="ＭＳ Ｐゴシック"/>
        </a:defRPr>
      </a:pPr>
      <a:endParaRPr lang="ja-JP"/>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1</xdr:col>
      <xdr:colOff>28575</xdr:colOff>
      <xdr:row>8</xdr:row>
      <xdr:rowOff>28575</xdr:rowOff>
    </xdr:from>
    <xdr:to>
      <xdr:col>3</xdr:col>
      <xdr:colOff>3625475</xdr:colOff>
      <xdr:row>13</xdr:row>
      <xdr:rowOff>133350</xdr:rowOff>
    </xdr:to>
    <xdr:grpSp>
      <xdr:nvGrpSpPr>
        <xdr:cNvPr id="5" name="グループ化 4">
          <a:extLst>
            <a:ext uri="{FF2B5EF4-FFF2-40B4-BE49-F238E27FC236}">
              <a16:creationId xmlns:a16="http://schemas.microsoft.com/office/drawing/2014/main" id="{00000000-0008-0000-0000-000005000000}"/>
            </a:ext>
          </a:extLst>
        </xdr:cNvPr>
        <xdr:cNvGrpSpPr/>
      </xdr:nvGrpSpPr>
      <xdr:grpSpPr>
        <a:xfrm>
          <a:off x="209550" y="1447800"/>
          <a:ext cx="5063750" cy="962025"/>
          <a:chOff x="247650" y="2143125"/>
          <a:chExt cx="5063750" cy="962025"/>
        </a:xfrm>
      </xdr:grpSpPr>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47650" y="2143125"/>
            <a:ext cx="5063750" cy="962025"/>
          </a:xfrm>
          <a:prstGeom prst="rect">
            <a:avLst/>
          </a:prstGeom>
        </xdr:spPr>
      </xdr:pic>
      <xdr:sp macro="" textlink="">
        <xdr:nvSpPr>
          <xdr:cNvPr id="3" name="正方形/長方形 2">
            <a:extLst>
              <a:ext uri="{FF2B5EF4-FFF2-40B4-BE49-F238E27FC236}">
                <a16:creationId xmlns:a16="http://schemas.microsoft.com/office/drawing/2014/main" id="{00000000-0008-0000-0000-000003000000}"/>
              </a:ext>
            </a:extLst>
          </xdr:cNvPr>
          <xdr:cNvSpPr/>
        </xdr:nvSpPr>
        <xdr:spPr>
          <a:xfrm>
            <a:off x="1981200" y="2428875"/>
            <a:ext cx="876300" cy="609600"/>
          </a:xfrm>
          <a:prstGeom prst="rect">
            <a:avLst/>
          </a:prstGeom>
          <a:noFill/>
          <a:ln w="38100">
            <a:solidFill>
              <a:srgbClr val="C0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正方形/長方形 3">
            <a:extLst>
              <a:ext uri="{FF2B5EF4-FFF2-40B4-BE49-F238E27FC236}">
                <a16:creationId xmlns:a16="http://schemas.microsoft.com/office/drawing/2014/main" id="{00000000-0008-0000-0000-000004000000}"/>
              </a:ext>
            </a:extLst>
          </xdr:cNvPr>
          <xdr:cNvSpPr/>
        </xdr:nvSpPr>
        <xdr:spPr>
          <a:xfrm>
            <a:off x="3581400" y="2428875"/>
            <a:ext cx="876300" cy="609600"/>
          </a:xfrm>
          <a:prstGeom prst="rect">
            <a:avLst/>
          </a:prstGeom>
          <a:noFill/>
          <a:ln w="38100">
            <a:solidFill>
              <a:srgbClr val="C0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0</xdr:row>
          <xdr:rowOff>47625</xdr:rowOff>
        </xdr:from>
        <xdr:to>
          <xdr:col>8</xdr:col>
          <xdr:colOff>895350</xdr:colOff>
          <xdr:row>2</xdr:row>
          <xdr:rowOff>57150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0</xdr:row>
          <xdr:rowOff>47625</xdr:rowOff>
        </xdr:from>
        <xdr:to>
          <xdr:col>11</xdr:col>
          <xdr:colOff>228600</xdr:colOff>
          <xdr:row>2</xdr:row>
          <xdr:rowOff>66675</xdr:rowOff>
        </xdr:to>
        <xdr:sp macro="" textlink="">
          <xdr:nvSpPr>
            <xdr:cNvPr id="9218" name="CommandButton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22412</xdr:colOff>
      <xdr:row>4</xdr:row>
      <xdr:rowOff>11206</xdr:rowOff>
    </xdr:from>
    <xdr:to>
      <xdr:col>19</xdr:col>
      <xdr:colOff>22412</xdr:colOff>
      <xdr:row>19</xdr:row>
      <xdr:rowOff>179293</xdr:rowOff>
    </xdr:to>
    <xdr:graphicFrame macro="">
      <xdr:nvGraphicFramePr>
        <xdr:cNvPr id="9219" name="グラフ 3">
          <a:extLst>
            <a:ext uri="{FF2B5EF4-FFF2-40B4-BE49-F238E27FC236}">
              <a16:creationId xmlns:a16="http://schemas.microsoft.com/office/drawing/2014/main" id="{00000000-0008-0000-0100-000003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11206</xdr:colOff>
      <xdr:row>22</xdr:row>
      <xdr:rowOff>22412</xdr:rowOff>
    </xdr:from>
    <xdr:to>
      <xdr:col>19</xdr:col>
      <xdr:colOff>11206</xdr:colOff>
      <xdr:row>37</xdr:row>
      <xdr:rowOff>44824</xdr:rowOff>
    </xdr:to>
    <xdr:graphicFrame macro="">
      <xdr:nvGraphicFramePr>
        <xdr:cNvPr id="9220" name="グラフ 4">
          <a:extLst>
            <a:ext uri="{FF2B5EF4-FFF2-40B4-BE49-F238E27FC236}">
              <a16:creationId xmlns:a16="http://schemas.microsoft.com/office/drawing/2014/main" id="{00000000-0008-0000-0100-000004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47625</xdr:rowOff>
        </xdr:from>
        <xdr:to>
          <xdr:col>9</xdr:col>
          <xdr:colOff>895350</xdr:colOff>
          <xdr:row>2</xdr:row>
          <xdr:rowOff>47625</xdr:rowOff>
        </xdr:to>
        <xdr:sp macro="" textlink="">
          <xdr:nvSpPr>
            <xdr:cNvPr id="2" name="btnReSelect" hidden="1">
              <a:extLst>
                <a:ext uri="{63B3BB69-23CF-44E3-9099-C40C66FF867C}">
                  <a14:compatExt spid="_x0000_s9220"/>
                </a:ext>
                <a:ext uri="{FF2B5EF4-FFF2-40B4-BE49-F238E27FC236}">
                  <a16:creationId xmlns:a16="http://schemas.microsoft.com/office/drawing/2014/main" id="{00000000-0008-0000-01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7</xdr:col>
      <xdr:colOff>57150</xdr:colOff>
      <xdr:row>8</xdr:row>
      <xdr:rowOff>114300</xdr:rowOff>
    </xdr:from>
    <xdr:to>
      <xdr:col>16</xdr:col>
      <xdr:colOff>9525</xdr:colOff>
      <xdr:row>30</xdr:row>
      <xdr:rowOff>66675</xdr:rowOff>
    </xdr:to>
    <xdr:graphicFrame macro="">
      <xdr:nvGraphicFramePr>
        <xdr:cNvPr id="2049" name="グラフ 1">
          <a:extLst>
            <a:ext uri="{FF2B5EF4-FFF2-40B4-BE49-F238E27FC236}">
              <a16:creationId xmlns:a16="http://schemas.microsoft.com/office/drawing/2014/main" id="{00000000-0008-0000-0200-000001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114300</xdr:colOff>
          <xdr:row>5</xdr:row>
          <xdr:rowOff>57150</xdr:rowOff>
        </xdr:from>
        <xdr:to>
          <xdr:col>6</xdr:col>
          <xdr:colOff>885825</xdr:colOff>
          <xdr:row>6</xdr:row>
          <xdr:rowOff>142875</xdr:rowOff>
        </xdr:to>
        <xdr:sp macro="" textlink="">
          <xdr:nvSpPr>
            <xdr:cNvPr id="2050" name="CommandButton1"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57150</xdr:colOff>
      <xdr:row>8</xdr:row>
      <xdr:rowOff>114300</xdr:rowOff>
    </xdr:from>
    <xdr:to>
      <xdr:col>16</xdr:col>
      <xdr:colOff>9525</xdr:colOff>
      <xdr:row>30</xdr:row>
      <xdr:rowOff>66675</xdr:rowOff>
    </xdr:to>
    <xdr:graphicFrame macro="">
      <xdr:nvGraphicFramePr>
        <xdr:cNvPr id="3073" name="グラフ 1">
          <a:extLst>
            <a:ext uri="{FF2B5EF4-FFF2-40B4-BE49-F238E27FC236}">
              <a16:creationId xmlns:a16="http://schemas.microsoft.com/office/drawing/2014/main" id="{00000000-0008-0000-0300-000001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114300</xdr:colOff>
          <xdr:row>5</xdr:row>
          <xdr:rowOff>57150</xdr:rowOff>
        </xdr:from>
        <xdr:to>
          <xdr:col>6</xdr:col>
          <xdr:colOff>885825</xdr:colOff>
          <xdr:row>6</xdr:row>
          <xdr:rowOff>142875</xdr:rowOff>
        </xdr:to>
        <xdr:sp macro="" textlink="">
          <xdr:nvSpPr>
            <xdr:cNvPr id="3074" name="CommandButton1"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57150</xdr:colOff>
      <xdr:row>8</xdr:row>
      <xdr:rowOff>114300</xdr:rowOff>
    </xdr:from>
    <xdr:to>
      <xdr:col>16</xdr:col>
      <xdr:colOff>9525</xdr:colOff>
      <xdr:row>30</xdr:row>
      <xdr:rowOff>66675</xdr:rowOff>
    </xdr:to>
    <xdr:graphicFrame macro="">
      <xdr:nvGraphicFramePr>
        <xdr:cNvPr id="10241" name="グラフ 1">
          <a:extLst>
            <a:ext uri="{FF2B5EF4-FFF2-40B4-BE49-F238E27FC236}">
              <a16:creationId xmlns:a16="http://schemas.microsoft.com/office/drawing/2014/main" id="{00000000-0008-0000-0400-000001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114300</xdr:colOff>
          <xdr:row>5</xdr:row>
          <xdr:rowOff>57150</xdr:rowOff>
        </xdr:from>
        <xdr:to>
          <xdr:col>6</xdr:col>
          <xdr:colOff>885825</xdr:colOff>
          <xdr:row>6</xdr:row>
          <xdr:rowOff>142875</xdr:rowOff>
        </xdr:to>
        <xdr:sp macro="" textlink="">
          <xdr:nvSpPr>
            <xdr:cNvPr id="10242" name="CommandButton1"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7</xdr:col>
      <xdr:colOff>57150</xdr:colOff>
      <xdr:row>8</xdr:row>
      <xdr:rowOff>114300</xdr:rowOff>
    </xdr:from>
    <xdr:to>
      <xdr:col>16</xdr:col>
      <xdr:colOff>9525</xdr:colOff>
      <xdr:row>30</xdr:row>
      <xdr:rowOff>66675</xdr:rowOff>
    </xdr:to>
    <xdr:graphicFrame macro="">
      <xdr:nvGraphicFramePr>
        <xdr:cNvPr id="2" name="グラフ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114300</xdr:colOff>
          <xdr:row>5</xdr:row>
          <xdr:rowOff>57150</xdr:rowOff>
        </xdr:from>
        <xdr:to>
          <xdr:col>6</xdr:col>
          <xdr:colOff>885825</xdr:colOff>
          <xdr:row>6</xdr:row>
          <xdr:rowOff>142875</xdr:rowOff>
        </xdr:to>
        <xdr:sp macro="" textlink="">
          <xdr:nvSpPr>
            <xdr:cNvPr id="16385" name="CommandButton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7</xdr:col>
      <xdr:colOff>57150</xdr:colOff>
      <xdr:row>8</xdr:row>
      <xdr:rowOff>114300</xdr:rowOff>
    </xdr:from>
    <xdr:to>
      <xdr:col>16</xdr:col>
      <xdr:colOff>9525</xdr:colOff>
      <xdr:row>30</xdr:row>
      <xdr:rowOff>66675</xdr:rowOff>
    </xdr:to>
    <xdr:graphicFrame macro="">
      <xdr:nvGraphicFramePr>
        <xdr:cNvPr id="6145" name="グラフ 1">
          <a:extLst>
            <a:ext uri="{FF2B5EF4-FFF2-40B4-BE49-F238E27FC236}">
              <a16:creationId xmlns:a16="http://schemas.microsoft.com/office/drawing/2014/main" id="{00000000-0008-0000-0600-000001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114300</xdr:colOff>
          <xdr:row>5</xdr:row>
          <xdr:rowOff>57150</xdr:rowOff>
        </xdr:from>
        <xdr:to>
          <xdr:col>6</xdr:col>
          <xdr:colOff>885825</xdr:colOff>
          <xdr:row>6</xdr:row>
          <xdr:rowOff>142875</xdr:rowOff>
        </xdr:to>
        <xdr:sp macro="" textlink="">
          <xdr:nvSpPr>
            <xdr:cNvPr id="6146" name="CommandButton1"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7</xdr:col>
      <xdr:colOff>57150</xdr:colOff>
      <xdr:row>8</xdr:row>
      <xdr:rowOff>114300</xdr:rowOff>
    </xdr:from>
    <xdr:to>
      <xdr:col>16</xdr:col>
      <xdr:colOff>9525</xdr:colOff>
      <xdr:row>30</xdr:row>
      <xdr:rowOff>66675</xdr:rowOff>
    </xdr:to>
    <xdr:graphicFrame macro="">
      <xdr:nvGraphicFramePr>
        <xdr:cNvPr id="8193" name="グラフ 1">
          <a:extLst>
            <a:ext uri="{FF2B5EF4-FFF2-40B4-BE49-F238E27FC236}">
              <a16:creationId xmlns:a16="http://schemas.microsoft.com/office/drawing/2014/main" id="{00000000-0008-0000-0700-000001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114300</xdr:colOff>
          <xdr:row>5</xdr:row>
          <xdr:rowOff>57150</xdr:rowOff>
        </xdr:from>
        <xdr:to>
          <xdr:col>6</xdr:col>
          <xdr:colOff>885825</xdr:colOff>
          <xdr:row>6</xdr:row>
          <xdr:rowOff>142875</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57150</xdr:colOff>
      <xdr:row>8</xdr:row>
      <xdr:rowOff>114300</xdr:rowOff>
    </xdr:from>
    <xdr:to>
      <xdr:col>16</xdr:col>
      <xdr:colOff>9525</xdr:colOff>
      <xdr:row>30</xdr:row>
      <xdr:rowOff>66675</xdr:rowOff>
    </xdr:to>
    <xdr:graphicFrame macro="">
      <xdr:nvGraphicFramePr>
        <xdr:cNvPr id="2" name="グラフ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114300</xdr:colOff>
          <xdr:row>5</xdr:row>
          <xdr:rowOff>57150</xdr:rowOff>
        </xdr:from>
        <xdr:to>
          <xdr:col>6</xdr:col>
          <xdr:colOff>885825</xdr:colOff>
          <xdr:row>6</xdr:row>
          <xdr:rowOff>142875</xdr:rowOff>
        </xdr:to>
        <xdr:sp macro="" textlink="">
          <xdr:nvSpPr>
            <xdr:cNvPr id="17409" name="CommandButton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7</xdr:col>
      <xdr:colOff>57150</xdr:colOff>
      <xdr:row>8</xdr:row>
      <xdr:rowOff>114300</xdr:rowOff>
    </xdr:from>
    <xdr:to>
      <xdr:col>16</xdr:col>
      <xdr:colOff>9525</xdr:colOff>
      <xdr:row>30</xdr:row>
      <xdr:rowOff>66675</xdr:rowOff>
    </xdr:to>
    <xdr:graphicFrame macro="">
      <xdr:nvGraphicFramePr>
        <xdr:cNvPr id="2" name="グラフ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114300</xdr:colOff>
          <xdr:row>5</xdr:row>
          <xdr:rowOff>57150</xdr:rowOff>
        </xdr:from>
        <xdr:to>
          <xdr:col>6</xdr:col>
          <xdr:colOff>885825</xdr:colOff>
          <xdr:row>6</xdr:row>
          <xdr:rowOff>142875</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9.emf"/><Relationship Id="rId4" Type="http://schemas.openxmlformats.org/officeDocument/2006/relationships/control" Target="../activeX/activeX8.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10.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11.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2.emf"/><Relationship Id="rId4" Type="http://schemas.openxmlformats.org/officeDocument/2006/relationships/control" Target="../activeX/activeX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B47D3-F66E-4D4A-AECB-0BA0D7489150}">
  <sheetPr codeName="Sheet2"/>
  <dimension ref="B1:E41"/>
  <sheetViews>
    <sheetView tabSelected="1" zoomScaleNormal="100" workbookViewId="0"/>
  </sheetViews>
  <sheetFormatPr defaultRowHeight="13.5" x14ac:dyDescent="0.15"/>
  <cols>
    <col min="1" max="1" width="2.375" style="1" customWidth="1"/>
    <col min="2" max="2" width="6.125" style="5" customWidth="1"/>
    <col min="3" max="3" width="13.125" style="5" customWidth="1"/>
    <col min="4" max="4" width="68.375" style="5" customWidth="1"/>
    <col min="5" max="5" width="13.875" style="1" customWidth="1"/>
    <col min="6" max="16384" width="9" style="1"/>
  </cols>
  <sheetData>
    <row r="1" spans="2:2" ht="17.25" x14ac:dyDescent="0.15">
      <c r="B1" s="28" t="s">
        <v>47</v>
      </c>
    </row>
    <row r="3" spans="2:2" x14ac:dyDescent="0.15">
      <c r="B3" s="5" t="s">
        <v>22</v>
      </c>
    </row>
    <row r="4" spans="2:2" x14ac:dyDescent="0.15">
      <c r="B4" s="5" t="s">
        <v>56</v>
      </c>
    </row>
    <row r="5" spans="2:2" x14ac:dyDescent="0.15">
      <c r="B5" s="5" t="s">
        <v>90</v>
      </c>
    </row>
    <row r="7" spans="2:2" x14ac:dyDescent="0.15">
      <c r="B7" s="5" t="s">
        <v>60</v>
      </c>
    </row>
    <row r="8" spans="2:2" x14ac:dyDescent="0.15">
      <c r="B8" s="5" t="s">
        <v>68</v>
      </c>
    </row>
    <row r="16" spans="2:2" x14ac:dyDescent="0.15">
      <c r="B16" s="5" t="s">
        <v>65</v>
      </c>
    </row>
    <row r="17" spans="2:5" x14ac:dyDescent="0.15">
      <c r="B17" s="5" t="s">
        <v>33</v>
      </c>
    </row>
    <row r="18" spans="2:5" x14ac:dyDescent="0.15">
      <c r="B18" s="5" t="s">
        <v>102</v>
      </c>
    </row>
    <row r="20" spans="2:5" x14ac:dyDescent="0.15">
      <c r="B20" s="5" t="s">
        <v>32</v>
      </c>
    </row>
    <row r="21" spans="2:5" x14ac:dyDescent="0.15">
      <c r="B21" s="5" t="s">
        <v>71</v>
      </c>
    </row>
    <row r="22" spans="2:5" x14ac:dyDescent="0.15">
      <c r="B22" s="5" t="s">
        <v>72</v>
      </c>
    </row>
    <row r="23" spans="2:5" x14ac:dyDescent="0.15">
      <c r="B23" s="5" t="s">
        <v>70</v>
      </c>
    </row>
    <row r="25" spans="2:5" x14ac:dyDescent="0.15">
      <c r="B25" s="5" t="s">
        <v>59</v>
      </c>
    </row>
    <row r="26" spans="2:5" x14ac:dyDescent="0.15">
      <c r="B26" s="30" t="s">
        <v>57</v>
      </c>
      <c r="C26" s="30" t="s">
        <v>46</v>
      </c>
      <c r="D26" s="30" t="s">
        <v>55</v>
      </c>
      <c r="E26" s="30" t="s">
        <v>62</v>
      </c>
    </row>
    <row r="27" spans="2:5" x14ac:dyDescent="0.15">
      <c r="B27" s="58" t="s">
        <v>99</v>
      </c>
      <c r="C27" s="60" t="s">
        <v>41</v>
      </c>
      <c r="D27" s="27" t="s">
        <v>48</v>
      </c>
      <c r="E27" s="27" t="s">
        <v>63</v>
      </c>
    </row>
    <row r="28" spans="2:5" ht="27" x14ac:dyDescent="0.15">
      <c r="B28" s="58" t="s">
        <v>99</v>
      </c>
      <c r="C28" s="56" t="s">
        <v>49</v>
      </c>
      <c r="D28" s="27" t="s">
        <v>40</v>
      </c>
      <c r="E28" s="27" t="s">
        <v>63</v>
      </c>
    </row>
    <row r="29" spans="2:5" ht="27" x14ac:dyDescent="0.15">
      <c r="B29" s="58" t="s">
        <v>99</v>
      </c>
      <c r="C29" s="60" t="s">
        <v>41</v>
      </c>
      <c r="D29" s="27" t="s">
        <v>53</v>
      </c>
      <c r="E29" s="27" t="s">
        <v>63</v>
      </c>
    </row>
    <row r="30" spans="2:5" x14ac:dyDescent="0.15">
      <c r="B30" s="58" t="s">
        <v>99</v>
      </c>
      <c r="C30" s="60" t="s">
        <v>41</v>
      </c>
      <c r="D30" s="27" t="s">
        <v>42</v>
      </c>
      <c r="E30" s="27" t="s">
        <v>63</v>
      </c>
    </row>
    <row r="31" spans="2:5" x14ac:dyDescent="0.15">
      <c r="B31" s="58" t="s">
        <v>99</v>
      </c>
      <c r="C31" s="56" t="s">
        <v>50</v>
      </c>
      <c r="D31" s="27" t="s">
        <v>43</v>
      </c>
      <c r="E31" s="27" t="s">
        <v>63</v>
      </c>
    </row>
    <row r="32" spans="2:5" x14ac:dyDescent="0.15">
      <c r="B32" s="58" t="s">
        <v>99</v>
      </c>
      <c r="C32" s="56" t="s">
        <v>51</v>
      </c>
      <c r="D32" s="27" t="s">
        <v>44</v>
      </c>
      <c r="E32" s="27" t="s">
        <v>63</v>
      </c>
    </row>
    <row r="33" spans="2:5" x14ac:dyDescent="0.15">
      <c r="B33" s="58" t="s">
        <v>99</v>
      </c>
      <c r="C33" s="56" t="s">
        <v>52</v>
      </c>
      <c r="D33" s="27" t="s">
        <v>54</v>
      </c>
      <c r="E33" s="27" t="s">
        <v>63</v>
      </c>
    </row>
    <row r="34" spans="2:5" x14ac:dyDescent="0.15">
      <c r="B34" s="58" t="s">
        <v>99</v>
      </c>
      <c r="C34" s="56">
        <v>44075</v>
      </c>
      <c r="D34" s="27" t="s">
        <v>101</v>
      </c>
      <c r="E34" s="27" t="s">
        <v>69</v>
      </c>
    </row>
    <row r="35" spans="2:5" x14ac:dyDescent="0.15">
      <c r="B35" s="58" t="s">
        <v>99</v>
      </c>
      <c r="C35" s="56">
        <v>44077</v>
      </c>
      <c r="D35" s="27" t="s">
        <v>87</v>
      </c>
      <c r="E35" s="27" t="s">
        <v>88</v>
      </c>
    </row>
    <row r="36" spans="2:5" x14ac:dyDescent="0.15">
      <c r="B36" s="58" t="s">
        <v>99</v>
      </c>
      <c r="C36" s="56">
        <v>44080</v>
      </c>
      <c r="D36" s="27" t="s">
        <v>91</v>
      </c>
      <c r="E36" s="27" t="s">
        <v>92</v>
      </c>
    </row>
    <row r="37" spans="2:5" x14ac:dyDescent="0.15">
      <c r="B37" s="59" t="s">
        <v>100</v>
      </c>
      <c r="C37" s="56">
        <v>44463</v>
      </c>
      <c r="D37" s="27" t="s">
        <v>97</v>
      </c>
      <c r="E37" s="27" t="s">
        <v>98</v>
      </c>
    </row>
    <row r="38" spans="2:5" x14ac:dyDescent="0.15">
      <c r="B38" s="2"/>
      <c r="C38" s="56"/>
      <c r="D38" s="27"/>
      <c r="E38" s="27"/>
    </row>
    <row r="39" spans="2:5" x14ac:dyDescent="0.15">
      <c r="B39" s="2"/>
      <c r="C39" s="56"/>
      <c r="D39" s="27"/>
      <c r="E39" s="27"/>
    </row>
    <row r="40" spans="2:5" x14ac:dyDescent="0.15">
      <c r="B40" s="2"/>
      <c r="C40" s="56"/>
      <c r="D40" s="27"/>
      <c r="E40" s="27"/>
    </row>
    <row r="41" spans="2:5" x14ac:dyDescent="0.15">
      <c r="B41" s="2"/>
      <c r="C41" s="56"/>
      <c r="D41" s="27"/>
      <c r="E41" s="27"/>
    </row>
  </sheetData>
  <phoneticPr fontId="2"/>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M120"/>
  <sheetViews>
    <sheetView showGridLines="0" zoomScaleNormal="100" workbookViewId="0">
      <selection activeCell="H18" sqref="H18"/>
    </sheetView>
  </sheetViews>
  <sheetFormatPr defaultRowHeight="13.5" x14ac:dyDescent="0.15"/>
  <cols>
    <col min="1" max="1" width="2.75" style="33" customWidth="1"/>
    <col min="2" max="2" width="6.75" style="33" customWidth="1"/>
    <col min="3" max="3" width="22.125" style="33" customWidth="1"/>
    <col min="4" max="11" width="13.375" style="33" customWidth="1"/>
    <col min="12" max="16384" width="9" style="33"/>
  </cols>
  <sheetData>
    <row r="2" spans="2:13" x14ac:dyDescent="0.15">
      <c r="B2" s="32"/>
    </row>
    <row r="3" spans="2:13" x14ac:dyDescent="0.15">
      <c r="D3" s="33" t="s">
        <v>81</v>
      </c>
      <c r="F3" s="33" t="s">
        <v>81</v>
      </c>
    </row>
    <row r="4" spans="2:13" x14ac:dyDescent="0.15">
      <c r="B4" s="43" t="s">
        <v>23</v>
      </c>
      <c r="C4" s="43" t="s">
        <v>24</v>
      </c>
      <c r="D4" s="44" t="s">
        <v>58</v>
      </c>
      <c r="E4" s="45"/>
      <c r="F4" s="44" t="s">
        <v>16</v>
      </c>
      <c r="G4" s="45"/>
      <c r="H4" s="44" t="s">
        <v>21</v>
      </c>
      <c r="I4" s="45"/>
      <c r="J4" s="44" t="s">
        <v>19</v>
      </c>
      <c r="K4" s="45"/>
      <c r="M4" s="33" t="s">
        <v>66</v>
      </c>
    </row>
    <row r="5" spans="2:13" ht="14.25" thickBot="1" x14ac:dyDescent="0.2">
      <c r="B5" s="46"/>
      <c r="C5" s="46"/>
      <c r="D5" s="47" t="s">
        <v>45</v>
      </c>
      <c r="E5" s="47" t="s">
        <v>15</v>
      </c>
      <c r="F5" s="47" t="s">
        <v>17</v>
      </c>
      <c r="G5" s="47" t="s">
        <v>2</v>
      </c>
      <c r="H5" s="47" t="s">
        <v>20</v>
      </c>
      <c r="I5" s="47" t="s">
        <v>18</v>
      </c>
      <c r="J5" s="47" t="s">
        <v>20</v>
      </c>
      <c r="K5" s="47" t="s">
        <v>18</v>
      </c>
    </row>
    <row r="6" spans="2:13" x14ac:dyDescent="0.15">
      <c r="B6" s="34">
        <v>1</v>
      </c>
      <c r="C6" s="48" t="s">
        <v>73</v>
      </c>
      <c r="D6" s="35">
        <v>0</v>
      </c>
      <c r="E6" s="36">
        <f>IF(D6="","",D6)</f>
        <v>0</v>
      </c>
      <c r="F6" s="37">
        <v>1</v>
      </c>
      <c r="G6" s="36">
        <f>IF(F6="","",F6)</f>
        <v>1</v>
      </c>
      <c r="H6" s="37"/>
      <c r="I6" s="38" t="str">
        <f>IF(H6="","",H6)</f>
        <v/>
      </c>
      <c r="J6" s="37"/>
      <c r="K6" s="38" t="str">
        <f>IF(J6="","",J6)</f>
        <v/>
      </c>
    </row>
    <row r="7" spans="2:13" x14ac:dyDescent="0.15">
      <c r="B7" s="38">
        <v>2</v>
      </c>
      <c r="C7" s="48" t="s">
        <v>74</v>
      </c>
      <c r="D7" s="39">
        <v>7</v>
      </c>
      <c r="E7" s="36">
        <f t="shared" ref="E7:G25" si="0">IF(D7="","",E6+D7)</f>
        <v>7</v>
      </c>
      <c r="F7" s="40">
        <v>66</v>
      </c>
      <c r="G7" s="36">
        <f t="shared" si="0"/>
        <v>67</v>
      </c>
      <c r="H7" s="40"/>
      <c r="I7" s="38" t="str">
        <f>IF(H7="","",I6+H7)</f>
        <v/>
      </c>
      <c r="J7" s="40"/>
      <c r="K7" s="38" t="str">
        <f>IF(J7="","",K6+J7)</f>
        <v/>
      </c>
    </row>
    <row r="8" spans="2:13" x14ac:dyDescent="0.15">
      <c r="B8" s="38">
        <v>3</v>
      </c>
      <c r="C8" s="48" t="s">
        <v>75</v>
      </c>
      <c r="D8" s="35">
        <v>7</v>
      </c>
      <c r="E8" s="36">
        <f t="shared" si="0"/>
        <v>14</v>
      </c>
      <c r="F8" s="37">
        <v>14</v>
      </c>
      <c r="G8" s="36">
        <f t="shared" si="0"/>
        <v>81</v>
      </c>
      <c r="H8" s="40"/>
      <c r="I8" s="38" t="str">
        <f t="shared" ref="I8:I71" si="1">IF(H8="","",I7+H8)</f>
        <v/>
      </c>
      <c r="J8" s="40"/>
      <c r="K8" s="38" t="str">
        <f t="shared" ref="K8:K71" si="2">IF(J8="","",K7+J8)</f>
        <v/>
      </c>
    </row>
    <row r="9" spans="2:13" x14ac:dyDescent="0.15">
      <c r="B9" s="38">
        <v>4</v>
      </c>
      <c r="C9" s="48" t="s">
        <v>76</v>
      </c>
      <c r="D9" s="39">
        <v>7</v>
      </c>
      <c r="E9" s="36">
        <f t="shared" si="0"/>
        <v>21</v>
      </c>
      <c r="F9" s="40">
        <v>18</v>
      </c>
      <c r="G9" s="36">
        <f t="shared" si="0"/>
        <v>99</v>
      </c>
      <c r="H9" s="40"/>
      <c r="I9" s="38" t="str">
        <f t="shared" si="1"/>
        <v/>
      </c>
      <c r="J9" s="40"/>
      <c r="K9" s="38" t="str">
        <f t="shared" si="2"/>
        <v/>
      </c>
    </row>
    <row r="10" spans="2:13" x14ac:dyDescent="0.15">
      <c r="B10" s="38">
        <v>5</v>
      </c>
      <c r="C10" s="48" t="s">
        <v>77</v>
      </c>
      <c r="D10" s="35">
        <v>7</v>
      </c>
      <c r="E10" s="36">
        <f t="shared" si="0"/>
        <v>28</v>
      </c>
      <c r="F10" s="37">
        <v>18</v>
      </c>
      <c r="G10" s="36">
        <f t="shared" si="0"/>
        <v>117</v>
      </c>
      <c r="H10" s="40"/>
      <c r="I10" s="38" t="str">
        <f t="shared" si="1"/>
        <v/>
      </c>
      <c r="J10" s="40"/>
      <c r="K10" s="38" t="str">
        <f t="shared" si="2"/>
        <v/>
      </c>
    </row>
    <row r="11" spans="2:13" x14ac:dyDescent="0.15">
      <c r="B11" s="38">
        <v>6</v>
      </c>
      <c r="C11" s="48" t="s">
        <v>78</v>
      </c>
      <c r="D11" s="39">
        <v>7</v>
      </c>
      <c r="E11" s="36">
        <f t="shared" si="0"/>
        <v>35</v>
      </c>
      <c r="F11" s="40">
        <v>15</v>
      </c>
      <c r="G11" s="36">
        <f t="shared" si="0"/>
        <v>132</v>
      </c>
      <c r="H11" s="40"/>
      <c r="I11" s="38" t="str">
        <f t="shared" si="1"/>
        <v/>
      </c>
      <c r="J11" s="40"/>
      <c r="K11" s="38" t="str">
        <f t="shared" si="2"/>
        <v/>
      </c>
    </row>
    <row r="12" spans="2:13" x14ac:dyDescent="0.15">
      <c r="B12" s="38">
        <v>7</v>
      </c>
      <c r="C12" s="48" t="s">
        <v>79</v>
      </c>
      <c r="D12" s="35">
        <v>7</v>
      </c>
      <c r="E12" s="36">
        <f t="shared" si="0"/>
        <v>42</v>
      </c>
      <c r="F12" s="37">
        <v>15</v>
      </c>
      <c r="G12" s="36">
        <f t="shared" si="0"/>
        <v>147</v>
      </c>
      <c r="H12" s="40"/>
      <c r="I12" s="38" t="str">
        <f t="shared" si="1"/>
        <v/>
      </c>
      <c r="J12" s="40"/>
      <c r="K12" s="38" t="str">
        <f t="shared" si="2"/>
        <v/>
      </c>
    </row>
    <row r="13" spans="2:13" x14ac:dyDescent="0.15">
      <c r="B13" s="38">
        <v>8</v>
      </c>
      <c r="C13" s="48" t="s">
        <v>80</v>
      </c>
      <c r="D13" s="39">
        <v>7</v>
      </c>
      <c r="E13" s="36">
        <f t="shared" si="0"/>
        <v>49</v>
      </c>
      <c r="F13" s="40">
        <v>19</v>
      </c>
      <c r="G13" s="36">
        <f t="shared" si="0"/>
        <v>166</v>
      </c>
      <c r="H13" s="40"/>
      <c r="I13" s="38" t="str">
        <f t="shared" si="1"/>
        <v/>
      </c>
      <c r="J13" s="40"/>
      <c r="K13" s="38" t="str">
        <f t="shared" si="2"/>
        <v/>
      </c>
    </row>
    <row r="14" spans="2:13" x14ac:dyDescent="0.15">
      <c r="B14" s="38">
        <v>9</v>
      </c>
      <c r="C14" s="48"/>
      <c r="D14" s="39"/>
      <c r="E14" s="36" t="str">
        <f t="shared" si="0"/>
        <v/>
      </c>
      <c r="F14" s="40"/>
      <c r="G14" s="36" t="str">
        <f t="shared" si="0"/>
        <v/>
      </c>
      <c r="H14" s="40"/>
      <c r="I14" s="38" t="str">
        <f t="shared" si="1"/>
        <v/>
      </c>
      <c r="J14" s="40"/>
      <c r="K14" s="38" t="str">
        <f t="shared" si="2"/>
        <v/>
      </c>
    </row>
    <row r="15" spans="2:13" x14ac:dyDescent="0.15">
      <c r="B15" s="38">
        <v>10</v>
      </c>
      <c r="C15" s="48"/>
      <c r="D15" s="39"/>
      <c r="E15" s="36" t="str">
        <f t="shared" si="0"/>
        <v/>
      </c>
      <c r="F15" s="40"/>
      <c r="G15" s="36" t="str">
        <f t="shared" si="0"/>
        <v/>
      </c>
      <c r="H15" s="40"/>
      <c r="I15" s="38" t="str">
        <f t="shared" si="1"/>
        <v/>
      </c>
      <c r="J15" s="40"/>
      <c r="K15" s="38" t="str">
        <f t="shared" si="2"/>
        <v/>
      </c>
    </row>
    <row r="16" spans="2:13" x14ac:dyDescent="0.15">
      <c r="B16" s="38">
        <v>11</v>
      </c>
      <c r="C16" s="48"/>
      <c r="D16" s="39"/>
      <c r="E16" s="36" t="str">
        <f t="shared" si="0"/>
        <v/>
      </c>
      <c r="F16" s="40"/>
      <c r="G16" s="36" t="str">
        <f t="shared" si="0"/>
        <v/>
      </c>
      <c r="H16" s="40"/>
      <c r="I16" s="38" t="str">
        <f t="shared" si="1"/>
        <v/>
      </c>
      <c r="J16" s="40"/>
      <c r="K16" s="38" t="str">
        <f t="shared" si="2"/>
        <v/>
      </c>
    </row>
    <row r="17" spans="2:13" x14ac:dyDescent="0.15">
      <c r="B17" s="38">
        <v>12</v>
      </c>
      <c r="C17" s="48"/>
      <c r="D17" s="39"/>
      <c r="E17" s="36" t="str">
        <f t="shared" si="0"/>
        <v/>
      </c>
      <c r="F17" s="40"/>
      <c r="G17" s="36" t="str">
        <f t="shared" si="0"/>
        <v/>
      </c>
      <c r="H17" s="40"/>
      <c r="I17" s="38" t="str">
        <f t="shared" si="1"/>
        <v/>
      </c>
      <c r="J17" s="40"/>
      <c r="K17" s="38" t="str">
        <f t="shared" si="2"/>
        <v/>
      </c>
    </row>
    <row r="18" spans="2:13" x14ac:dyDescent="0.15">
      <c r="B18" s="38">
        <v>13</v>
      </c>
      <c r="C18" s="48"/>
      <c r="D18" s="39"/>
      <c r="E18" s="36" t="str">
        <f t="shared" si="0"/>
        <v/>
      </c>
      <c r="F18" s="41"/>
      <c r="G18" s="36" t="str">
        <f t="shared" si="0"/>
        <v/>
      </c>
      <c r="H18" s="40"/>
      <c r="I18" s="38" t="str">
        <f t="shared" si="1"/>
        <v/>
      </c>
      <c r="J18" s="40"/>
      <c r="K18" s="38" t="str">
        <f t="shared" si="2"/>
        <v/>
      </c>
    </row>
    <row r="19" spans="2:13" ht="14.25" customHeight="1" x14ac:dyDescent="0.15">
      <c r="B19" s="38">
        <v>14</v>
      </c>
      <c r="C19" s="48"/>
      <c r="D19" s="39"/>
      <c r="E19" s="36" t="str">
        <f t="shared" si="0"/>
        <v/>
      </c>
      <c r="F19" s="41"/>
      <c r="G19" s="36" t="str">
        <f t="shared" si="0"/>
        <v/>
      </c>
      <c r="H19" s="40"/>
      <c r="I19" s="38" t="str">
        <f t="shared" si="1"/>
        <v/>
      </c>
      <c r="J19" s="40"/>
      <c r="K19" s="38" t="str">
        <f t="shared" si="2"/>
        <v/>
      </c>
    </row>
    <row r="20" spans="2:13" ht="14.25" customHeight="1" x14ac:dyDescent="0.15">
      <c r="B20" s="38">
        <v>15</v>
      </c>
      <c r="C20" s="48"/>
      <c r="D20" s="35"/>
      <c r="E20" s="36" t="str">
        <f t="shared" si="0"/>
        <v/>
      </c>
      <c r="F20" s="41"/>
      <c r="G20" s="36" t="str">
        <f t="shared" si="0"/>
        <v/>
      </c>
      <c r="H20" s="40"/>
      <c r="I20" s="38" t="str">
        <f t="shared" si="1"/>
        <v/>
      </c>
      <c r="J20" s="40"/>
      <c r="K20" s="38" t="str">
        <f t="shared" si="2"/>
        <v/>
      </c>
    </row>
    <row r="21" spans="2:13" ht="14.25" customHeight="1" x14ac:dyDescent="0.15">
      <c r="B21" s="38">
        <v>16</v>
      </c>
      <c r="C21" s="48"/>
      <c r="D21" s="39"/>
      <c r="E21" s="36" t="str">
        <f t="shared" si="0"/>
        <v/>
      </c>
      <c r="F21" s="42"/>
      <c r="G21" s="36" t="str">
        <f t="shared" si="0"/>
        <v/>
      </c>
      <c r="H21" s="40"/>
      <c r="I21" s="38" t="str">
        <f t="shared" si="1"/>
        <v/>
      </c>
      <c r="J21" s="40"/>
      <c r="K21" s="38" t="str">
        <f t="shared" si="2"/>
        <v/>
      </c>
    </row>
    <row r="22" spans="2:13" ht="14.25" customHeight="1" x14ac:dyDescent="0.15">
      <c r="B22" s="38">
        <v>17</v>
      </c>
      <c r="C22" s="48"/>
      <c r="D22" s="35"/>
      <c r="E22" s="36" t="str">
        <f t="shared" si="0"/>
        <v/>
      </c>
      <c r="F22" s="42"/>
      <c r="G22" s="36" t="str">
        <f t="shared" si="0"/>
        <v/>
      </c>
      <c r="H22" s="40"/>
      <c r="I22" s="38" t="str">
        <f t="shared" si="1"/>
        <v/>
      </c>
      <c r="J22" s="40"/>
      <c r="K22" s="38" t="str">
        <f t="shared" si="2"/>
        <v/>
      </c>
      <c r="M22" s="33" t="s">
        <v>67</v>
      </c>
    </row>
    <row r="23" spans="2:13" ht="14.25" customHeight="1" x14ac:dyDescent="0.15">
      <c r="B23" s="38">
        <v>18</v>
      </c>
      <c r="C23" s="48"/>
      <c r="D23" s="39"/>
      <c r="E23" s="36" t="str">
        <f t="shared" si="0"/>
        <v/>
      </c>
      <c r="F23" s="42"/>
      <c r="G23" s="36" t="str">
        <f t="shared" si="0"/>
        <v/>
      </c>
      <c r="H23" s="40"/>
      <c r="I23" s="38" t="str">
        <f t="shared" si="1"/>
        <v/>
      </c>
      <c r="J23" s="40"/>
      <c r="K23" s="38" t="str">
        <f t="shared" si="2"/>
        <v/>
      </c>
    </row>
    <row r="24" spans="2:13" ht="14.25" customHeight="1" x14ac:dyDescent="0.15">
      <c r="B24" s="38">
        <v>19</v>
      </c>
      <c r="C24" s="48"/>
      <c r="D24" s="35"/>
      <c r="E24" s="36" t="str">
        <f t="shared" si="0"/>
        <v/>
      </c>
      <c r="F24" s="42"/>
      <c r="G24" s="36" t="str">
        <f t="shared" si="0"/>
        <v/>
      </c>
      <c r="H24" s="40"/>
      <c r="I24" s="38" t="str">
        <f t="shared" si="1"/>
        <v/>
      </c>
      <c r="J24" s="40"/>
      <c r="K24" s="38" t="str">
        <f t="shared" si="2"/>
        <v/>
      </c>
    </row>
    <row r="25" spans="2:13" ht="14.25" customHeight="1" x14ac:dyDescent="0.15">
      <c r="B25" s="38">
        <v>20</v>
      </c>
      <c r="C25" s="48"/>
      <c r="D25" s="39"/>
      <c r="E25" s="36" t="str">
        <f t="shared" si="0"/>
        <v/>
      </c>
      <c r="F25" s="42"/>
      <c r="G25" s="36" t="str">
        <f t="shared" si="0"/>
        <v/>
      </c>
      <c r="H25" s="40"/>
      <c r="I25" s="38" t="str">
        <f t="shared" si="1"/>
        <v/>
      </c>
      <c r="J25" s="40"/>
      <c r="K25" s="38" t="str">
        <f t="shared" si="2"/>
        <v/>
      </c>
    </row>
    <row r="26" spans="2:13" ht="14.25" customHeight="1" x14ac:dyDescent="0.15">
      <c r="B26" s="38">
        <v>21</v>
      </c>
      <c r="C26" s="48"/>
      <c r="D26" s="35"/>
      <c r="E26" s="36" t="str">
        <f>IF(D26="","",E25+D26)</f>
        <v/>
      </c>
      <c r="F26" s="42"/>
      <c r="G26" s="36" t="str">
        <f t="shared" ref="G26:G89" si="3">IF(F26="","",G25+F26)</f>
        <v/>
      </c>
      <c r="H26" s="40"/>
      <c r="I26" s="38" t="str">
        <f t="shared" si="1"/>
        <v/>
      </c>
      <c r="J26" s="40"/>
      <c r="K26" s="38" t="str">
        <f t="shared" si="2"/>
        <v/>
      </c>
    </row>
    <row r="27" spans="2:13" ht="14.25" customHeight="1" x14ac:dyDescent="0.15">
      <c r="B27" s="38">
        <v>22</v>
      </c>
      <c r="C27" s="48"/>
      <c r="D27" s="39"/>
      <c r="E27" s="36" t="str">
        <f t="shared" ref="E27:E45" si="4">IF(D27="","",E26+D27)</f>
        <v/>
      </c>
      <c r="F27" s="42"/>
      <c r="G27" s="36" t="str">
        <f t="shared" si="3"/>
        <v/>
      </c>
      <c r="H27" s="40"/>
      <c r="I27" s="38" t="str">
        <f t="shared" si="1"/>
        <v/>
      </c>
      <c r="J27" s="40"/>
      <c r="K27" s="38" t="str">
        <f t="shared" si="2"/>
        <v/>
      </c>
    </row>
    <row r="28" spans="2:13" ht="14.25" customHeight="1" x14ac:dyDescent="0.15">
      <c r="B28" s="38">
        <v>23</v>
      </c>
      <c r="C28" s="48"/>
      <c r="D28" s="35"/>
      <c r="E28" s="36" t="str">
        <f t="shared" si="4"/>
        <v/>
      </c>
      <c r="F28" s="42"/>
      <c r="G28" s="36" t="str">
        <f t="shared" si="3"/>
        <v/>
      </c>
      <c r="H28" s="40"/>
      <c r="I28" s="38" t="str">
        <f t="shared" si="1"/>
        <v/>
      </c>
      <c r="J28" s="40"/>
      <c r="K28" s="38" t="str">
        <f t="shared" si="2"/>
        <v/>
      </c>
    </row>
    <row r="29" spans="2:13" ht="14.25" customHeight="1" x14ac:dyDescent="0.15">
      <c r="B29" s="38">
        <v>24</v>
      </c>
      <c r="C29" s="48"/>
      <c r="D29" s="39"/>
      <c r="E29" s="36" t="str">
        <f t="shared" si="4"/>
        <v/>
      </c>
      <c r="F29" s="42"/>
      <c r="G29" s="36" t="str">
        <f t="shared" si="3"/>
        <v/>
      </c>
      <c r="H29" s="40"/>
      <c r="I29" s="38" t="str">
        <f t="shared" si="1"/>
        <v/>
      </c>
      <c r="J29" s="40"/>
      <c r="K29" s="38" t="str">
        <f t="shared" si="2"/>
        <v/>
      </c>
    </row>
    <row r="30" spans="2:13" ht="14.25" customHeight="1" x14ac:dyDescent="0.15">
      <c r="B30" s="38">
        <v>25</v>
      </c>
      <c r="C30" s="48"/>
      <c r="D30" s="35"/>
      <c r="E30" s="36" t="str">
        <f t="shared" si="4"/>
        <v/>
      </c>
      <c r="F30" s="42"/>
      <c r="G30" s="36" t="str">
        <f t="shared" si="3"/>
        <v/>
      </c>
      <c r="H30" s="40"/>
      <c r="I30" s="38" t="str">
        <f t="shared" si="1"/>
        <v/>
      </c>
      <c r="J30" s="40"/>
      <c r="K30" s="38" t="str">
        <f t="shared" si="2"/>
        <v/>
      </c>
    </row>
    <row r="31" spans="2:13" ht="14.25" customHeight="1" x14ac:dyDescent="0.15">
      <c r="B31" s="38">
        <v>26</v>
      </c>
      <c r="C31" s="48"/>
      <c r="D31" s="39"/>
      <c r="E31" s="36" t="str">
        <f t="shared" si="4"/>
        <v/>
      </c>
      <c r="F31" s="42"/>
      <c r="G31" s="36" t="str">
        <f t="shared" si="3"/>
        <v/>
      </c>
      <c r="H31" s="40"/>
      <c r="I31" s="38" t="str">
        <f t="shared" si="1"/>
        <v/>
      </c>
      <c r="J31" s="40"/>
      <c r="K31" s="38" t="str">
        <f t="shared" si="2"/>
        <v/>
      </c>
    </row>
    <row r="32" spans="2:13" ht="14.25" customHeight="1" x14ac:dyDescent="0.15">
      <c r="B32" s="38">
        <v>27</v>
      </c>
      <c r="C32" s="48"/>
      <c r="D32" s="35"/>
      <c r="E32" s="36" t="str">
        <f t="shared" si="4"/>
        <v/>
      </c>
      <c r="F32" s="42"/>
      <c r="G32" s="36" t="str">
        <f t="shared" si="3"/>
        <v/>
      </c>
      <c r="H32" s="40"/>
      <c r="I32" s="38" t="str">
        <f t="shared" si="1"/>
        <v/>
      </c>
      <c r="J32" s="40"/>
      <c r="K32" s="38" t="str">
        <f t="shared" si="2"/>
        <v/>
      </c>
    </row>
    <row r="33" spans="2:11" ht="14.25" customHeight="1" x14ac:dyDescent="0.15">
      <c r="B33" s="38">
        <v>28</v>
      </c>
      <c r="C33" s="48"/>
      <c r="D33" s="39"/>
      <c r="E33" s="36" t="str">
        <f t="shared" si="4"/>
        <v/>
      </c>
      <c r="F33" s="42"/>
      <c r="G33" s="36" t="str">
        <f t="shared" si="3"/>
        <v/>
      </c>
      <c r="H33" s="40"/>
      <c r="I33" s="38" t="str">
        <f t="shared" si="1"/>
        <v/>
      </c>
      <c r="J33" s="40"/>
      <c r="K33" s="38" t="str">
        <f t="shared" si="2"/>
        <v/>
      </c>
    </row>
    <row r="34" spans="2:11" ht="14.25" customHeight="1" x14ac:dyDescent="0.15">
      <c r="B34" s="38">
        <v>29</v>
      </c>
      <c r="C34" s="48"/>
      <c r="D34" s="35"/>
      <c r="E34" s="36" t="str">
        <f t="shared" si="4"/>
        <v/>
      </c>
      <c r="F34" s="40"/>
      <c r="G34" s="36" t="str">
        <f t="shared" si="3"/>
        <v/>
      </c>
      <c r="H34" s="40"/>
      <c r="I34" s="38" t="str">
        <f t="shared" si="1"/>
        <v/>
      </c>
      <c r="J34" s="40"/>
      <c r="K34" s="38" t="str">
        <f t="shared" si="2"/>
        <v/>
      </c>
    </row>
    <row r="35" spans="2:11" ht="14.25" customHeight="1" x14ac:dyDescent="0.15">
      <c r="B35" s="38">
        <v>30</v>
      </c>
      <c r="C35" s="48"/>
      <c r="D35" s="39"/>
      <c r="E35" s="36" t="str">
        <f t="shared" si="4"/>
        <v/>
      </c>
      <c r="F35" s="40"/>
      <c r="G35" s="36" t="str">
        <f t="shared" si="3"/>
        <v/>
      </c>
      <c r="H35" s="40"/>
      <c r="I35" s="38" t="str">
        <f t="shared" si="1"/>
        <v/>
      </c>
      <c r="J35" s="40"/>
      <c r="K35" s="38" t="str">
        <f t="shared" si="2"/>
        <v/>
      </c>
    </row>
    <row r="36" spans="2:11" ht="14.25" customHeight="1" x14ac:dyDescent="0.15">
      <c r="B36" s="38">
        <v>31</v>
      </c>
      <c r="C36" s="48"/>
      <c r="D36" s="35"/>
      <c r="E36" s="36" t="str">
        <f t="shared" si="4"/>
        <v/>
      </c>
      <c r="F36" s="40"/>
      <c r="G36" s="36" t="str">
        <f t="shared" si="3"/>
        <v/>
      </c>
      <c r="H36" s="40"/>
      <c r="I36" s="38" t="str">
        <f t="shared" si="1"/>
        <v/>
      </c>
      <c r="J36" s="40"/>
      <c r="K36" s="38" t="str">
        <f t="shared" si="2"/>
        <v/>
      </c>
    </row>
    <row r="37" spans="2:11" ht="14.25" customHeight="1" x14ac:dyDescent="0.15">
      <c r="B37" s="38">
        <v>32</v>
      </c>
      <c r="C37" s="48"/>
      <c r="D37" s="39"/>
      <c r="E37" s="36" t="str">
        <f t="shared" si="4"/>
        <v/>
      </c>
      <c r="F37" s="40"/>
      <c r="G37" s="36" t="str">
        <f t="shared" si="3"/>
        <v/>
      </c>
      <c r="H37" s="40"/>
      <c r="I37" s="38" t="str">
        <f t="shared" si="1"/>
        <v/>
      </c>
      <c r="J37" s="40"/>
      <c r="K37" s="38" t="str">
        <f t="shared" si="2"/>
        <v/>
      </c>
    </row>
    <row r="38" spans="2:11" ht="14.25" customHeight="1" x14ac:dyDescent="0.15">
      <c r="B38" s="38">
        <v>33</v>
      </c>
      <c r="C38" s="48"/>
      <c r="D38" s="35"/>
      <c r="E38" s="36" t="str">
        <f t="shared" si="4"/>
        <v/>
      </c>
      <c r="F38" s="40"/>
      <c r="G38" s="36" t="str">
        <f t="shared" si="3"/>
        <v/>
      </c>
      <c r="H38" s="40"/>
      <c r="I38" s="38" t="str">
        <f t="shared" si="1"/>
        <v/>
      </c>
      <c r="J38" s="40"/>
      <c r="K38" s="38" t="str">
        <f t="shared" si="2"/>
        <v/>
      </c>
    </row>
    <row r="39" spans="2:11" ht="14.25" customHeight="1" x14ac:dyDescent="0.15">
      <c r="B39" s="38">
        <v>34</v>
      </c>
      <c r="C39" s="48"/>
      <c r="D39" s="39"/>
      <c r="E39" s="36" t="str">
        <f t="shared" si="4"/>
        <v/>
      </c>
      <c r="F39" s="40"/>
      <c r="G39" s="36" t="str">
        <f t="shared" si="3"/>
        <v/>
      </c>
      <c r="H39" s="40"/>
      <c r="I39" s="38" t="str">
        <f t="shared" si="1"/>
        <v/>
      </c>
      <c r="J39" s="40"/>
      <c r="K39" s="38" t="str">
        <f t="shared" si="2"/>
        <v/>
      </c>
    </row>
    <row r="40" spans="2:11" ht="14.25" customHeight="1" x14ac:dyDescent="0.15">
      <c r="B40" s="38">
        <v>35</v>
      </c>
      <c r="C40" s="48"/>
      <c r="D40" s="35"/>
      <c r="E40" s="36" t="str">
        <f t="shared" si="4"/>
        <v/>
      </c>
      <c r="F40" s="40"/>
      <c r="G40" s="36" t="str">
        <f t="shared" si="3"/>
        <v/>
      </c>
      <c r="H40" s="40"/>
      <c r="I40" s="38" t="str">
        <f t="shared" si="1"/>
        <v/>
      </c>
      <c r="J40" s="40"/>
      <c r="K40" s="38" t="str">
        <f t="shared" si="2"/>
        <v/>
      </c>
    </row>
    <row r="41" spans="2:11" ht="14.25" customHeight="1" x14ac:dyDescent="0.15">
      <c r="B41" s="38">
        <v>36</v>
      </c>
      <c r="C41" s="48"/>
      <c r="D41" s="39"/>
      <c r="E41" s="36" t="str">
        <f t="shared" si="4"/>
        <v/>
      </c>
      <c r="F41" s="40"/>
      <c r="G41" s="36" t="str">
        <f t="shared" si="3"/>
        <v/>
      </c>
      <c r="H41" s="40"/>
      <c r="I41" s="38" t="str">
        <f t="shared" si="1"/>
        <v/>
      </c>
      <c r="J41" s="40"/>
      <c r="K41" s="38" t="str">
        <f t="shared" si="2"/>
        <v/>
      </c>
    </row>
    <row r="42" spans="2:11" ht="14.25" customHeight="1" x14ac:dyDescent="0.15">
      <c r="B42" s="38">
        <v>37</v>
      </c>
      <c r="C42" s="48"/>
      <c r="D42" s="35"/>
      <c r="E42" s="36" t="str">
        <f t="shared" si="4"/>
        <v/>
      </c>
      <c r="F42" s="40"/>
      <c r="G42" s="36" t="str">
        <f t="shared" si="3"/>
        <v/>
      </c>
      <c r="H42" s="40"/>
      <c r="I42" s="38" t="str">
        <f t="shared" si="1"/>
        <v/>
      </c>
      <c r="J42" s="40"/>
      <c r="K42" s="38" t="str">
        <f t="shared" si="2"/>
        <v/>
      </c>
    </row>
    <row r="43" spans="2:11" ht="14.25" customHeight="1" x14ac:dyDescent="0.15">
      <c r="B43" s="38">
        <v>38</v>
      </c>
      <c r="C43" s="48"/>
      <c r="D43" s="39"/>
      <c r="E43" s="36" t="str">
        <f t="shared" si="4"/>
        <v/>
      </c>
      <c r="F43" s="40"/>
      <c r="G43" s="36" t="str">
        <f t="shared" si="3"/>
        <v/>
      </c>
      <c r="H43" s="40"/>
      <c r="I43" s="38" t="str">
        <f t="shared" si="1"/>
        <v/>
      </c>
      <c r="J43" s="40"/>
      <c r="K43" s="38" t="str">
        <f t="shared" si="2"/>
        <v/>
      </c>
    </row>
    <row r="44" spans="2:11" ht="14.25" customHeight="1" x14ac:dyDescent="0.15">
      <c r="B44" s="38">
        <v>39</v>
      </c>
      <c r="C44" s="48"/>
      <c r="D44" s="35"/>
      <c r="E44" s="36" t="str">
        <f t="shared" si="4"/>
        <v/>
      </c>
      <c r="F44" s="40"/>
      <c r="G44" s="36" t="str">
        <f t="shared" si="3"/>
        <v/>
      </c>
      <c r="H44" s="40"/>
      <c r="I44" s="38" t="str">
        <f t="shared" si="1"/>
        <v/>
      </c>
      <c r="J44" s="40"/>
      <c r="K44" s="38" t="str">
        <f t="shared" si="2"/>
        <v/>
      </c>
    </row>
    <row r="45" spans="2:11" ht="14.25" customHeight="1" x14ac:dyDescent="0.15">
      <c r="B45" s="38">
        <v>40</v>
      </c>
      <c r="C45" s="48"/>
      <c r="D45" s="39"/>
      <c r="E45" s="36" t="str">
        <f t="shared" si="4"/>
        <v/>
      </c>
      <c r="F45" s="40"/>
      <c r="G45" s="36" t="str">
        <f t="shared" si="3"/>
        <v/>
      </c>
      <c r="H45" s="40"/>
      <c r="I45" s="38" t="str">
        <f t="shared" si="1"/>
        <v/>
      </c>
      <c r="J45" s="40"/>
      <c r="K45" s="38" t="str">
        <f t="shared" si="2"/>
        <v/>
      </c>
    </row>
    <row r="46" spans="2:11" ht="14.25" customHeight="1" x14ac:dyDescent="0.15">
      <c r="B46" s="38">
        <v>41</v>
      </c>
      <c r="C46" s="48"/>
      <c r="D46" s="35"/>
      <c r="E46" s="36" t="str">
        <f t="shared" ref="E46:E105" si="5">IF(D46="","",E45+D46)</f>
        <v/>
      </c>
      <c r="F46" s="40"/>
      <c r="G46" s="36" t="str">
        <f t="shared" si="3"/>
        <v/>
      </c>
      <c r="H46" s="40"/>
      <c r="I46" s="38" t="str">
        <f t="shared" si="1"/>
        <v/>
      </c>
      <c r="J46" s="40"/>
      <c r="K46" s="38" t="str">
        <f t="shared" si="2"/>
        <v/>
      </c>
    </row>
    <row r="47" spans="2:11" ht="14.25" customHeight="1" x14ac:dyDescent="0.15">
      <c r="B47" s="38">
        <v>42</v>
      </c>
      <c r="C47" s="48"/>
      <c r="D47" s="39"/>
      <c r="E47" s="36" t="str">
        <f t="shared" si="5"/>
        <v/>
      </c>
      <c r="F47" s="40"/>
      <c r="G47" s="36" t="str">
        <f t="shared" si="3"/>
        <v/>
      </c>
      <c r="H47" s="40"/>
      <c r="I47" s="38" t="str">
        <f t="shared" si="1"/>
        <v/>
      </c>
      <c r="J47" s="40"/>
      <c r="K47" s="38" t="str">
        <f t="shared" si="2"/>
        <v/>
      </c>
    </row>
    <row r="48" spans="2:11" ht="14.25" customHeight="1" x14ac:dyDescent="0.15">
      <c r="B48" s="38">
        <v>43</v>
      </c>
      <c r="C48" s="48"/>
      <c r="D48" s="35"/>
      <c r="E48" s="36" t="str">
        <f t="shared" si="5"/>
        <v/>
      </c>
      <c r="F48" s="40"/>
      <c r="G48" s="36" t="str">
        <f t="shared" si="3"/>
        <v/>
      </c>
      <c r="H48" s="40"/>
      <c r="I48" s="38" t="str">
        <f t="shared" si="1"/>
        <v/>
      </c>
      <c r="J48" s="40"/>
      <c r="K48" s="38" t="str">
        <f t="shared" si="2"/>
        <v/>
      </c>
    </row>
    <row r="49" spans="2:11" ht="14.25" customHeight="1" x14ac:dyDescent="0.15">
      <c r="B49" s="38">
        <v>44</v>
      </c>
      <c r="C49" s="48"/>
      <c r="D49" s="39"/>
      <c r="E49" s="36" t="str">
        <f t="shared" si="5"/>
        <v/>
      </c>
      <c r="F49" s="40"/>
      <c r="G49" s="36" t="str">
        <f t="shared" si="3"/>
        <v/>
      </c>
      <c r="H49" s="40"/>
      <c r="I49" s="38" t="str">
        <f t="shared" si="1"/>
        <v/>
      </c>
      <c r="J49" s="40"/>
      <c r="K49" s="38" t="str">
        <f t="shared" si="2"/>
        <v/>
      </c>
    </row>
    <row r="50" spans="2:11" ht="14.25" customHeight="1" x14ac:dyDescent="0.15">
      <c r="B50" s="38">
        <v>45</v>
      </c>
      <c r="C50" s="48"/>
      <c r="D50" s="35"/>
      <c r="E50" s="36" t="str">
        <f t="shared" si="5"/>
        <v/>
      </c>
      <c r="F50" s="40"/>
      <c r="G50" s="36" t="str">
        <f t="shared" si="3"/>
        <v/>
      </c>
      <c r="H50" s="40"/>
      <c r="I50" s="38" t="str">
        <f t="shared" si="1"/>
        <v/>
      </c>
      <c r="J50" s="40"/>
      <c r="K50" s="38" t="str">
        <f t="shared" si="2"/>
        <v/>
      </c>
    </row>
    <row r="51" spans="2:11" ht="14.25" customHeight="1" x14ac:dyDescent="0.15">
      <c r="B51" s="38">
        <v>46</v>
      </c>
      <c r="C51" s="48"/>
      <c r="D51" s="39"/>
      <c r="E51" s="36" t="str">
        <f t="shared" si="5"/>
        <v/>
      </c>
      <c r="F51" s="40"/>
      <c r="G51" s="36" t="str">
        <f t="shared" si="3"/>
        <v/>
      </c>
      <c r="H51" s="40"/>
      <c r="I51" s="38" t="str">
        <f t="shared" si="1"/>
        <v/>
      </c>
      <c r="J51" s="40"/>
      <c r="K51" s="38" t="str">
        <f t="shared" si="2"/>
        <v/>
      </c>
    </row>
    <row r="52" spans="2:11" ht="14.25" customHeight="1" x14ac:dyDescent="0.15">
      <c r="B52" s="38">
        <v>47</v>
      </c>
      <c r="C52" s="48"/>
      <c r="D52" s="35"/>
      <c r="E52" s="36" t="str">
        <f t="shared" si="5"/>
        <v/>
      </c>
      <c r="F52" s="40"/>
      <c r="G52" s="36" t="str">
        <f t="shared" si="3"/>
        <v/>
      </c>
      <c r="H52" s="40"/>
      <c r="I52" s="38" t="str">
        <f t="shared" si="1"/>
        <v/>
      </c>
      <c r="J52" s="40"/>
      <c r="K52" s="38" t="str">
        <f t="shared" si="2"/>
        <v/>
      </c>
    </row>
    <row r="53" spans="2:11" ht="14.25" customHeight="1" x14ac:dyDescent="0.15">
      <c r="B53" s="38">
        <v>48</v>
      </c>
      <c r="C53" s="48"/>
      <c r="D53" s="39"/>
      <c r="E53" s="36" t="str">
        <f t="shared" si="5"/>
        <v/>
      </c>
      <c r="F53" s="40"/>
      <c r="G53" s="36" t="str">
        <f t="shared" si="3"/>
        <v/>
      </c>
      <c r="H53" s="40"/>
      <c r="I53" s="38" t="str">
        <f t="shared" si="1"/>
        <v/>
      </c>
      <c r="J53" s="40"/>
      <c r="K53" s="38" t="str">
        <f t="shared" si="2"/>
        <v/>
      </c>
    </row>
    <row r="54" spans="2:11" ht="14.25" customHeight="1" x14ac:dyDescent="0.15">
      <c r="B54" s="38">
        <v>49</v>
      </c>
      <c r="C54" s="48"/>
      <c r="D54" s="35"/>
      <c r="E54" s="36" t="str">
        <f t="shared" si="5"/>
        <v/>
      </c>
      <c r="F54" s="40"/>
      <c r="G54" s="36" t="str">
        <f t="shared" si="3"/>
        <v/>
      </c>
      <c r="H54" s="40"/>
      <c r="I54" s="38" t="str">
        <f t="shared" si="1"/>
        <v/>
      </c>
      <c r="J54" s="40"/>
      <c r="K54" s="38" t="str">
        <f t="shared" si="2"/>
        <v/>
      </c>
    </row>
    <row r="55" spans="2:11" ht="14.25" customHeight="1" x14ac:dyDescent="0.15">
      <c r="B55" s="38">
        <v>50</v>
      </c>
      <c r="C55" s="48"/>
      <c r="D55" s="39"/>
      <c r="E55" s="36" t="str">
        <f t="shared" si="5"/>
        <v/>
      </c>
      <c r="F55" s="40"/>
      <c r="G55" s="36" t="str">
        <f t="shared" si="3"/>
        <v/>
      </c>
      <c r="H55" s="40"/>
      <c r="I55" s="38" t="str">
        <f t="shared" si="1"/>
        <v/>
      </c>
      <c r="J55" s="40"/>
      <c r="K55" s="38" t="str">
        <f t="shared" si="2"/>
        <v/>
      </c>
    </row>
    <row r="56" spans="2:11" ht="14.25" customHeight="1" x14ac:dyDescent="0.15">
      <c r="B56" s="38">
        <v>51</v>
      </c>
      <c r="C56" s="48"/>
      <c r="D56" s="35"/>
      <c r="E56" s="36" t="str">
        <f t="shared" si="5"/>
        <v/>
      </c>
      <c r="F56" s="40"/>
      <c r="G56" s="36" t="str">
        <f t="shared" si="3"/>
        <v/>
      </c>
      <c r="H56" s="40"/>
      <c r="I56" s="38" t="str">
        <f t="shared" si="1"/>
        <v/>
      </c>
      <c r="J56" s="40"/>
      <c r="K56" s="38" t="str">
        <f t="shared" si="2"/>
        <v/>
      </c>
    </row>
    <row r="57" spans="2:11" ht="14.25" customHeight="1" x14ac:dyDescent="0.15">
      <c r="B57" s="38">
        <v>52</v>
      </c>
      <c r="C57" s="48"/>
      <c r="D57" s="39"/>
      <c r="E57" s="36" t="str">
        <f t="shared" si="5"/>
        <v/>
      </c>
      <c r="F57" s="40"/>
      <c r="G57" s="36" t="str">
        <f t="shared" si="3"/>
        <v/>
      </c>
      <c r="H57" s="40"/>
      <c r="I57" s="38" t="str">
        <f t="shared" si="1"/>
        <v/>
      </c>
      <c r="J57" s="40"/>
      <c r="K57" s="38" t="str">
        <f t="shared" si="2"/>
        <v/>
      </c>
    </row>
    <row r="58" spans="2:11" ht="14.25" customHeight="1" x14ac:dyDescent="0.15">
      <c r="B58" s="38">
        <v>53</v>
      </c>
      <c r="C58" s="48"/>
      <c r="D58" s="35"/>
      <c r="E58" s="36" t="str">
        <f t="shared" si="5"/>
        <v/>
      </c>
      <c r="F58" s="40"/>
      <c r="G58" s="36" t="str">
        <f t="shared" si="3"/>
        <v/>
      </c>
      <c r="H58" s="40"/>
      <c r="I58" s="38" t="str">
        <f t="shared" si="1"/>
        <v/>
      </c>
      <c r="J58" s="40"/>
      <c r="K58" s="38" t="str">
        <f t="shared" si="2"/>
        <v/>
      </c>
    </row>
    <row r="59" spans="2:11" ht="14.25" customHeight="1" x14ac:dyDescent="0.15">
      <c r="B59" s="38">
        <v>54</v>
      </c>
      <c r="C59" s="48"/>
      <c r="D59" s="39"/>
      <c r="E59" s="36" t="str">
        <f t="shared" si="5"/>
        <v/>
      </c>
      <c r="F59" s="40"/>
      <c r="G59" s="36" t="str">
        <f t="shared" si="3"/>
        <v/>
      </c>
      <c r="H59" s="40"/>
      <c r="I59" s="38" t="str">
        <f t="shared" si="1"/>
        <v/>
      </c>
      <c r="J59" s="40"/>
      <c r="K59" s="38" t="str">
        <f t="shared" si="2"/>
        <v/>
      </c>
    </row>
    <row r="60" spans="2:11" ht="14.25" customHeight="1" x14ac:dyDescent="0.15">
      <c r="B60" s="38">
        <v>55</v>
      </c>
      <c r="C60" s="48"/>
      <c r="D60" s="35"/>
      <c r="E60" s="36" t="str">
        <f t="shared" si="5"/>
        <v/>
      </c>
      <c r="F60" s="40"/>
      <c r="G60" s="36" t="str">
        <f t="shared" si="3"/>
        <v/>
      </c>
      <c r="H60" s="40"/>
      <c r="I60" s="38" t="str">
        <f t="shared" si="1"/>
        <v/>
      </c>
      <c r="J60" s="40"/>
      <c r="K60" s="38" t="str">
        <f t="shared" si="2"/>
        <v/>
      </c>
    </row>
    <row r="61" spans="2:11" ht="14.25" customHeight="1" x14ac:dyDescent="0.15">
      <c r="B61" s="38">
        <v>56</v>
      </c>
      <c r="C61" s="49"/>
      <c r="D61" s="39"/>
      <c r="E61" s="36" t="str">
        <f t="shared" si="5"/>
        <v/>
      </c>
      <c r="F61" s="40"/>
      <c r="G61" s="36" t="str">
        <f t="shared" si="3"/>
        <v/>
      </c>
      <c r="H61" s="40"/>
      <c r="I61" s="38" t="str">
        <f t="shared" si="1"/>
        <v/>
      </c>
      <c r="J61" s="40"/>
      <c r="K61" s="38" t="str">
        <f t="shared" si="2"/>
        <v/>
      </c>
    </row>
    <row r="62" spans="2:11" ht="14.25" customHeight="1" x14ac:dyDescent="0.15">
      <c r="B62" s="38">
        <v>57</v>
      </c>
      <c r="C62" s="49"/>
      <c r="D62" s="35"/>
      <c r="E62" s="36" t="str">
        <f t="shared" si="5"/>
        <v/>
      </c>
      <c r="F62" s="40"/>
      <c r="G62" s="36" t="str">
        <f t="shared" si="3"/>
        <v/>
      </c>
      <c r="H62" s="40"/>
      <c r="I62" s="38" t="str">
        <f t="shared" si="1"/>
        <v/>
      </c>
      <c r="J62" s="40"/>
      <c r="K62" s="38" t="str">
        <f t="shared" si="2"/>
        <v/>
      </c>
    </row>
    <row r="63" spans="2:11" ht="14.25" customHeight="1" x14ac:dyDescent="0.15">
      <c r="B63" s="38">
        <v>58</v>
      </c>
      <c r="C63" s="49"/>
      <c r="D63" s="39"/>
      <c r="E63" s="36" t="str">
        <f t="shared" si="5"/>
        <v/>
      </c>
      <c r="F63" s="40"/>
      <c r="G63" s="36" t="str">
        <f t="shared" si="3"/>
        <v/>
      </c>
      <c r="H63" s="40"/>
      <c r="I63" s="38" t="str">
        <f t="shared" si="1"/>
        <v/>
      </c>
      <c r="J63" s="40"/>
      <c r="K63" s="38" t="str">
        <f t="shared" si="2"/>
        <v/>
      </c>
    </row>
    <row r="64" spans="2:11" ht="14.25" customHeight="1" x14ac:dyDescent="0.15">
      <c r="B64" s="38">
        <v>59</v>
      </c>
      <c r="C64" s="49"/>
      <c r="D64" s="35"/>
      <c r="E64" s="36" t="str">
        <f t="shared" si="5"/>
        <v/>
      </c>
      <c r="F64" s="40"/>
      <c r="G64" s="36" t="str">
        <f t="shared" si="3"/>
        <v/>
      </c>
      <c r="H64" s="40"/>
      <c r="I64" s="38" t="str">
        <f t="shared" si="1"/>
        <v/>
      </c>
      <c r="J64" s="40"/>
      <c r="K64" s="38" t="str">
        <f t="shared" si="2"/>
        <v/>
      </c>
    </row>
    <row r="65" spans="2:11" ht="14.25" customHeight="1" x14ac:dyDescent="0.15">
      <c r="B65" s="38">
        <v>60</v>
      </c>
      <c r="C65" s="49"/>
      <c r="D65" s="39"/>
      <c r="E65" s="36" t="str">
        <f t="shared" si="5"/>
        <v/>
      </c>
      <c r="F65" s="40"/>
      <c r="G65" s="36" t="str">
        <f t="shared" si="3"/>
        <v/>
      </c>
      <c r="H65" s="40"/>
      <c r="I65" s="38" t="str">
        <f t="shared" si="1"/>
        <v/>
      </c>
      <c r="J65" s="40"/>
      <c r="K65" s="38" t="str">
        <f t="shared" si="2"/>
        <v/>
      </c>
    </row>
    <row r="66" spans="2:11" ht="14.25" customHeight="1" x14ac:dyDescent="0.15">
      <c r="B66" s="38">
        <v>61</v>
      </c>
      <c r="C66" s="49"/>
      <c r="D66" s="39"/>
      <c r="E66" s="36" t="str">
        <f t="shared" si="5"/>
        <v/>
      </c>
      <c r="F66" s="40"/>
      <c r="G66" s="36" t="str">
        <f t="shared" si="3"/>
        <v/>
      </c>
      <c r="H66" s="40"/>
      <c r="I66" s="38" t="str">
        <f t="shared" si="1"/>
        <v/>
      </c>
      <c r="J66" s="40"/>
      <c r="K66" s="38" t="str">
        <f t="shared" si="2"/>
        <v/>
      </c>
    </row>
    <row r="67" spans="2:11" ht="14.25" customHeight="1" x14ac:dyDescent="0.15">
      <c r="B67" s="38">
        <v>62</v>
      </c>
      <c r="C67" s="49"/>
      <c r="D67" s="39"/>
      <c r="E67" s="36" t="str">
        <f t="shared" si="5"/>
        <v/>
      </c>
      <c r="F67" s="40"/>
      <c r="G67" s="36" t="str">
        <f t="shared" si="3"/>
        <v/>
      </c>
      <c r="H67" s="40"/>
      <c r="I67" s="38" t="str">
        <f t="shared" si="1"/>
        <v/>
      </c>
      <c r="J67" s="40"/>
      <c r="K67" s="38" t="str">
        <f t="shared" si="2"/>
        <v/>
      </c>
    </row>
    <row r="68" spans="2:11" ht="14.25" customHeight="1" x14ac:dyDescent="0.15">
      <c r="B68" s="38">
        <v>63</v>
      </c>
      <c r="C68" s="50"/>
      <c r="D68" s="39"/>
      <c r="E68" s="36" t="str">
        <f t="shared" si="5"/>
        <v/>
      </c>
      <c r="F68" s="40"/>
      <c r="G68" s="36" t="str">
        <f t="shared" si="3"/>
        <v/>
      </c>
      <c r="H68" s="40"/>
      <c r="I68" s="38" t="str">
        <f t="shared" si="1"/>
        <v/>
      </c>
      <c r="J68" s="40"/>
      <c r="K68" s="38" t="str">
        <f t="shared" si="2"/>
        <v/>
      </c>
    </row>
    <row r="69" spans="2:11" ht="14.25" customHeight="1" x14ac:dyDescent="0.15">
      <c r="B69" s="38">
        <v>64</v>
      </c>
      <c r="C69" s="49"/>
      <c r="D69" s="39"/>
      <c r="E69" s="36" t="str">
        <f t="shared" si="5"/>
        <v/>
      </c>
      <c r="F69" s="40"/>
      <c r="G69" s="36" t="str">
        <f t="shared" si="3"/>
        <v/>
      </c>
      <c r="H69" s="40"/>
      <c r="I69" s="38" t="str">
        <f t="shared" si="1"/>
        <v/>
      </c>
      <c r="J69" s="40"/>
      <c r="K69" s="38" t="str">
        <f t="shared" si="2"/>
        <v/>
      </c>
    </row>
    <row r="70" spans="2:11" ht="14.25" customHeight="1" x14ac:dyDescent="0.15">
      <c r="B70" s="38">
        <v>65</v>
      </c>
      <c r="C70" s="51"/>
      <c r="D70" s="39"/>
      <c r="E70" s="36" t="str">
        <f t="shared" si="5"/>
        <v/>
      </c>
      <c r="F70" s="40"/>
      <c r="G70" s="36" t="str">
        <f t="shared" si="3"/>
        <v/>
      </c>
      <c r="H70" s="40"/>
      <c r="I70" s="38" t="str">
        <f t="shared" si="1"/>
        <v/>
      </c>
      <c r="J70" s="40"/>
      <c r="K70" s="38" t="str">
        <f t="shared" si="2"/>
        <v/>
      </c>
    </row>
    <row r="71" spans="2:11" ht="14.25" customHeight="1" x14ac:dyDescent="0.15">
      <c r="B71" s="38">
        <v>66</v>
      </c>
      <c r="C71" s="49"/>
      <c r="D71" s="39"/>
      <c r="E71" s="36" t="str">
        <f t="shared" si="5"/>
        <v/>
      </c>
      <c r="F71" s="40"/>
      <c r="G71" s="36" t="str">
        <f t="shared" si="3"/>
        <v/>
      </c>
      <c r="H71" s="40"/>
      <c r="I71" s="38" t="str">
        <f t="shared" si="1"/>
        <v/>
      </c>
      <c r="J71" s="40"/>
      <c r="K71" s="38" t="str">
        <f t="shared" si="2"/>
        <v/>
      </c>
    </row>
    <row r="72" spans="2:11" ht="14.25" customHeight="1" x14ac:dyDescent="0.15">
      <c r="B72" s="38">
        <v>67</v>
      </c>
      <c r="C72" s="50"/>
      <c r="D72" s="39"/>
      <c r="E72" s="36" t="str">
        <f t="shared" si="5"/>
        <v/>
      </c>
      <c r="F72" s="40"/>
      <c r="G72" s="36" t="str">
        <f t="shared" si="3"/>
        <v/>
      </c>
      <c r="H72" s="40"/>
      <c r="I72" s="38" t="str">
        <f t="shared" ref="I72:I105" si="6">IF(H72="","",I71+H72)</f>
        <v/>
      </c>
      <c r="J72" s="40"/>
      <c r="K72" s="38" t="str">
        <f t="shared" ref="K72:K105" si="7">IF(J72="","",K71+J72)</f>
        <v/>
      </c>
    </row>
    <row r="73" spans="2:11" ht="14.25" customHeight="1" x14ac:dyDescent="0.15">
      <c r="B73" s="38">
        <v>68</v>
      </c>
      <c r="C73" s="49"/>
      <c r="D73" s="39"/>
      <c r="E73" s="36" t="str">
        <f t="shared" si="5"/>
        <v/>
      </c>
      <c r="F73" s="40"/>
      <c r="G73" s="36" t="str">
        <f t="shared" si="3"/>
        <v/>
      </c>
      <c r="H73" s="40"/>
      <c r="I73" s="38" t="str">
        <f t="shared" si="6"/>
        <v/>
      </c>
      <c r="J73" s="40"/>
      <c r="K73" s="38" t="str">
        <f t="shared" si="7"/>
        <v/>
      </c>
    </row>
    <row r="74" spans="2:11" ht="14.25" customHeight="1" x14ac:dyDescent="0.15">
      <c r="B74" s="38">
        <v>69</v>
      </c>
      <c r="C74" s="49"/>
      <c r="D74" s="39"/>
      <c r="E74" s="36" t="str">
        <f t="shared" si="5"/>
        <v/>
      </c>
      <c r="F74" s="40"/>
      <c r="G74" s="36" t="str">
        <f t="shared" si="3"/>
        <v/>
      </c>
      <c r="H74" s="40"/>
      <c r="I74" s="38" t="str">
        <f t="shared" si="6"/>
        <v/>
      </c>
      <c r="J74" s="40"/>
      <c r="K74" s="38" t="str">
        <f t="shared" si="7"/>
        <v/>
      </c>
    </row>
    <row r="75" spans="2:11" ht="14.25" customHeight="1" x14ac:dyDescent="0.15">
      <c r="B75" s="38">
        <v>70</v>
      </c>
      <c r="C75" s="49"/>
      <c r="D75" s="39"/>
      <c r="E75" s="36" t="str">
        <f t="shared" si="5"/>
        <v/>
      </c>
      <c r="F75" s="40"/>
      <c r="G75" s="36" t="str">
        <f t="shared" si="3"/>
        <v/>
      </c>
      <c r="H75" s="40"/>
      <c r="I75" s="38" t="str">
        <f t="shared" si="6"/>
        <v/>
      </c>
      <c r="J75" s="40"/>
      <c r="K75" s="38" t="str">
        <f t="shared" si="7"/>
        <v/>
      </c>
    </row>
    <row r="76" spans="2:11" ht="14.25" customHeight="1" x14ac:dyDescent="0.15">
      <c r="B76" s="38">
        <v>71</v>
      </c>
      <c r="C76" s="49"/>
      <c r="D76" s="39"/>
      <c r="E76" s="36" t="str">
        <f t="shared" si="5"/>
        <v/>
      </c>
      <c r="F76" s="40"/>
      <c r="G76" s="36" t="str">
        <f t="shared" si="3"/>
        <v/>
      </c>
      <c r="H76" s="40"/>
      <c r="I76" s="38" t="str">
        <f t="shared" si="6"/>
        <v/>
      </c>
      <c r="J76" s="40"/>
      <c r="K76" s="38" t="str">
        <f t="shared" si="7"/>
        <v/>
      </c>
    </row>
    <row r="77" spans="2:11" ht="14.25" customHeight="1" x14ac:dyDescent="0.15">
      <c r="B77" s="38">
        <v>72</v>
      </c>
      <c r="C77" s="49"/>
      <c r="D77" s="39"/>
      <c r="E77" s="36" t="str">
        <f t="shared" si="5"/>
        <v/>
      </c>
      <c r="F77" s="40"/>
      <c r="G77" s="36" t="str">
        <f t="shared" si="3"/>
        <v/>
      </c>
      <c r="H77" s="40"/>
      <c r="I77" s="38" t="str">
        <f t="shared" si="6"/>
        <v/>
      </c>
      <c r="J77" s="40"/>
      <c r="K77" s="38" t="str">
        <f t="shared" si="7"/>
        <v/>
      </c>
    </row>
    <row r="78" spans="2:11" ht="14.25" customHeight="1" x14ac:dyDescent="0.15">
      <c r="B78" s="38">
        <v>73</v>
      </c>
      <c r="C78" s="49"/>
      <c r="D78" s="39"/>
      <c r="E78" s="36" t="str">
        <f t="shared" si="5"/>
        <v/>
      </c>
      <c r="F78" s="40"/>
      <c r="G78" s="36" t="str">
        <f t="shared" si="3"/>
        <v/>
      </c>
      <c r="H78" s="40"/>
      <c r="I78" s="38" t="str">
        <f t="shared" si="6"/>
        <v/>
      </c>
      <c r="J78" s="40"/>
      <c r="K78" s="38" t="str">
        <f t="shared" si="7"/>
        <v/>
      </c>
    </row>
    <row r="79" spans="2:11" ht="14.25" customHeight="1" x14ac:dyDescent="0.15">
      <c r="B79" s="38">
        <v>74</v>
      </c>
      <c r="C79" s="49"/>
      <c r="D79" s="39"/>
      <c r="E79" s="36" t="str">
        <f t="shared" si="5"/>
        <v/>
      </c>
      <c r="F79" s="40"/>
      <c r="G79" s="36" t="str">
        <f t="shared" si="3"/>
        <v/>
      </c>
      <c r="H79" s="40"/>
      <c r="I79" s="38" t="str">
        <f t="shared" si="6"/>
        <v/>
      </c>
      <c r="J79" s="40"/>
      <c r="K79" s="38" t="str">
        <f t="shared" si="7"/>
        <v/>
      </c>
    </row>
    <row r="80" spans="2:11" ht="14.25" customHeight="1" x14ac:dyDescent="0.15">
      <c r="B80" s="38">
        <v>75</v>
      </c>
      <c r="C80" s="49"/>
      <c r="D80" s="39"/>
      <c r="E80" s="36" t="str">
        <f t="shared" si="5"/>
        <v/>
      </c>
      <c r="F80" s="40"/>
      <c r="G80" s="36" t="str">
        <f t="shared" si="3"/>
        <v/>
      </c>
      <c r="H80" s="40"/>
      <c r="I80" s="38" t="str">
        <f t="shared" si="6"/>
        <v/>
      </c>
      <c r="J80" s="40"/>
      <c r="K80" s="38" t="str">
        <f t="shared" si="7"/>
        <v/>
      </c>
    </row>
    <row r="81" spans="2:11" ht="14.25" customHeight="1" x14ac:dyDescent="0.15">
      <c r="B81" s="38">
        <v>76</v>
      </c>
      <c r="C81" s="49"/>
      <c r="D81" s="39"/>
      <c r="E81" s="36" t="str">
        <f t="shared" si="5"/>
        <v/>
      </c>
      <c r="F81" s="40"/>
      <c r="G81" s="36" t="str">
        <f t="shared" si="3"/>
        <v/>
      </c>
      <c r="H81" s="40"/>
      <c r="I81" s="38" t="str">
        <f t="shared" si="6"/>
        <v/>
      </c>
      <c r="J81" s="40"/>
      <c r="K81" s="38" t="str">
        <f t="shared" si="7"/>
        <v/>
      </c>
    </row>
    <row r="82" spans="2:11" ht="14.25" customHeight="1" x14ac:dyDescent="0.15">
      <c r="B82" s="38">
        <v>77</v>
      </c>
      <c r="C82" s="49"/>
      <c r="D82" s="39"/>
      <c r="E82" s="36" t="str">
        <f t="shared" si="5"/>
        <v/>
      </c>
      <c r="F82" s="40"/>
      <c r="G82" s="36" t="str">
        <f t="shared" si="3"/>
        <v/>
      </c>
      <c r="H82" s="40"/>
      <c r="I82" s="38" t="str">
        <f t="shared" si="6"/>
        <v/>
      </c>
      <c r="J82" s="40"/>
      <c r="K82" s="38" t="str">
        <f t="shared" si="7"/>
        <v/>
      </c>
    </row>
    <row r="83" spans="2:11" ht="14.25" customHeight="1" x14ac:dyDescent="0.15">
      <c r="B83" s="38">
        <v>78</v>
      </c>
      <c r="C83" s="49"/>
      <c r="D83" s="39"/>
      <c r="E83" s="36" t="str">
        <f t="shared" si="5"/>
        <v/>
      </c>
      <c r="F83" s="40"/>
      <c r="G83" s="36" t="str">
        <f t="shared" si="3"/>
        <v/>
      </c>
      <c r="H83" s="40"/>
      <c r="I83" s="38" t="str">
        <f t="shared" si="6"/>
        <v/>
      </c>
      <c r="J83" s="40"/>
      <c r="K83" s="38" t="str">
        <f t="shared" si="7"/>
        <v/>
      </c>
    </row>
    <row r="84" spans="2:11" ht="14.25" customHeight="1" x14ac:dyDescent="0.15">
      <c r="B84" s="38">
        <v>79</v>
      </c>
      <c r="C84" s="49"/>
      <c r="D84" s="39"/>
      <c r="E84" s="36" t="str">
        <f t="shared" si="5"/>
        <v/>
      </c>
      <c r="F84" s="40"/>
      <c r="G84" s="36" t="str">
        <f t="shared" si="3"/>
        <v/>
      </c>
      <c r="H84" s="40"/>
      <c r="I84" s="38" t="str">
        <f t="shared" si="6"/>
        <v/>
      </c>
      <c r="J84" s="40"/>
      <c r="K84" s="38" t="str">
        <f t="shared" si="7"/>
        <v/>
      </c>
    </row>
    <row r="85" spans="2:11" ht="14.25" customHeight="1" x14ac:dyDescent="0.15">
      <c r="B85" s="38">
        <v>80</v>
      </c>
      <c r="C85" s="49"/>
      <c r="D85" s="39"/>
      <c r="E85" s="36" t="str">
        <f t="shared" si="5"/>
        <v/>
      </c>
      <c r="F85" s="40"/>
      <c r="G85" s="36" t="str">
        <f t="shared" si="3"/>
        <v/>
      </c>
      <c r="H85" s="40"/>
      <c r="I85" s="38" t="str">
        <f t="shared" si="6"/>
        <v/>
      </c>
      <c r="J85" s="40"/>
      <c r="K85" s="38" t="str">
        <f t="shared" si="7"/>
        <v/>
      </c>
    </row>
    <row r="86" spans="2:11" ht="14.25" customHeight="1" x14ac:dyDescent="0.15">
      <c r="B86" s="38">
        <v>81</v>
      </c>
      <c r="C86" s="49"/>
      <c r="D86" s="39"/>
      <c r="E86" s="36" t="str">
        <f t="shared" si="5"/>
        <v/>
      </c>
      <c r="F86" s="40"/>
      <c r="G86" s="36" t="str">
        <f t="shared" si="3"/>
        <v/>
      </c>
      <c r="H86" s="40"/>
      <c r="I86" s="38" t="str">
        <f t="shared" si="6"/>
        <v/>
      </c>
      <c r="J86" s="40"/>
      <c r="K86" s="38" t="str">
        <f t="shared" si="7"/>
        <v/>
      </c>
    </row>
    <row r="87" spans="2:11" ht="14.25" customHeight="1" x14ac:dyDescent="0.15">
      <c r="B87" s="38">
        <v>82</v>
      </c>
      <c r="C87" s="49"/>
      <c r="D87" s="39"/>
      <c r="E87" s="36" t="str">
        <f t="shared" si="5"/>
        <v/>
      </c>
      <c r="F87" s="40"/>
      <c r="G87" s="36" t="str">
        <f t="shared" si="3"/>
        <v/>
      </c>
      <c r="H87" s="40"/>
      <c r="I87" s="38" t="str">
        <f t="shared" si="6"/>
        <v/>
      </c>
      <c r="J87" s="40"/>
      <c r="K87" s="38" t="str">
        <f t="shared" si="7"/>
        <v/>
      </c>
    </row>
    <row r="88" spans="2:11" ht="14.25" customHeight="1" x14ac:dyDescent="0.15">
      <c r="B88" s="38">
        <v>83</v>
      </c>
      <c r="C88" s="49"/>
      <c r="D88" s="39"/>
      <c r="E88" s="36" t="str">
        <f t="shared" si="5"/>
        <v/>
      </c>
      <c r="F88" s="40"/>
      <c r="G88" s="36" t="str">
        <f t="shared" si="3"/>
        <v/>
      </c>
      <c r="H88" s="40"/>
      <c r="I88" s="38" t="str">
        <f t="shared" si="6"/>
        <v/>
      </c>
      <c r="J88" s="40"/>
      <c r="K88" s="38" t="str">
        <f t="shared" si="7"/>
        <v/>
      </c>
    </row>
    <row r="89" spans="2:11" ht="14.25" customHeight="1" x14ac:dyDescent="0.15">
      <c r="B89" s="38">
        <v>84</v>
      </c>
      <c r="C89" s="49"/>
      <c r="D89" s="39"/>
      <c r="E89" s="36" t="str">
        <f t="shared" si="5"/>
        <v/>
      </c>
      <c r="F89" s="40"/>
      <c r="G89" s="36" t="str">
        <f t="shared" si="3"/>
        <v/>
      </c>
      <c r="H89" s="40"/>
      <c r="I89" s="38" t="str">
        <f t="shared" si="6"/>
        <v/>
      </c>
      <c r="J89" s="40"/>
      <c r="K89" s="38" t="str">
        <f t="shared" si="7"/>
        <v/>
      </c>
    </row>
    <row r="90" spans="2:11" ht="14.25" customHeight="1" x14ac:dyDescent="0.15">
      <c r="B90" s="38">
        <v>85</v>
      </c>
      <c r="C90" s="49"/>
      <c r="D90" s="39"/>
      <c r="E90" s="36" t="str">
        <f t="shared" si="5"/>
        <v/>
      </c>
      <c r="F90" s="40"/>
      <c r="G90" s="36" t="str">
        <f t="shared" ref="G90:G105" si="8">IF(F90="","",G89+F90)</f>
        <v/>
      </c>
      <c r="H90" s="40"/>
      <c r="I90" s="38" t="str">
        <f t="shared" si="6"/>
        <v/>
      </c>
      <c r="J90" s="40"/>
      <c r="K90" s="38" t="str">
        <f t="shared" si="7"/>
        <v/>
      </c>
    </row>
    <row r="91" spans="2:11" ht="14.25" customHeight="1" x14ac:dyDescent="0.15">
      <c r="B91" s="38">
        <v>86</v>
      </c>
      <c r="C91" s="49"/>
      <c r="D91" s="39"/>
      <c r="E91" s="36" t="str">
        <f t="shared" si="5"/>
        <v/>
      </c>
      <c r="F91" s="40"/>
      <c r="G91" s="36" t="str">
        <f t="shared" si="8"/>
        <v/>
      </c>
      <c r="H91" s="40"/>
      <c r="I91" s="38" t="str">
        <f t="shared" si="6"/>
        <v/>
      </c>
      <c r="J91" s="40"/>
      <c r="K91" s="38" t="str">
        <f t="shared" si="7"/>
        <v/>
      </c>
    </row>
    <row r="92" spans="2:11" ht="14.25" customHeight="1" x14ac:dyDescent="0.15">
      <c r="B92" s="38">
        <v>87</v>
      </c>
      <c r="C92" s="49"/>
      <c r="D92" s="39"/>
      <c r="E92" s="36" t="str">
        <f t="shared" si="5"/>
        <v/>
      </c>
      <c r="F92" s="40"/>
      <c r="G92" s="36" t="str">
        <f t="shared" si="8"/>
        <v/>
      </c>
      <c r="H92" s="40"/>
      <c r="I92" s="38" t="str">
        <f t="shared" si="6"/>
        <v/>
      </c>
      <c r="J92" s="40"/>
      <c r="K92" s="38" t="str">
        <f t="shared" si="7"/>
        <v/>
      </c>
    </row>
    <row r="93" spans="2:11" ht="14.25" customHeight="1" x14ac:dyDescent="0.15">
      <c r="B93" s="38">
        <v>88</v>
      </c>
      <c r="C93" s="49"/>
      <c r="D93" s="39"/>
      <c r="E93" s="36" t="str">
        <f t="shared" si="5"/>
        <v/>
      </c>
      <c r="F93" s="40"/>
      <c r="G93" s="36" t="str">
        <f t="shared" si="8"/>
        <v/>
      </c>
      <c r="H93" s="40"/>
      <c r="I93" s="38" t="str">
        <f t="shared" si="6"/>
        <v/>
      </c>
      <c r="J93" s="40"/>
      <c r="K93" s="38" t="str">
        <f t="shared" si="7"/>
        <v/>
      </c>
    </row>
    <row r="94" spans="2:11" ht="14.25" customHeight="1" x14ac:dyDescent="0.15">
      <c r="B94" s="38">
        <v>89</v>
      </c>
      <c r="C94" s="49"/>
      <c r="D94" s="39"/>
      <c r="E94" s="36" t="str">
        <f t="shared" si="5"/>
        <v/>
      </c>
      <c r="F94" s="40"/>
      <c r="G94" s="36" t="str">
        <f t="shared" si="8"/>
        <v/>
      </c>
      <c r="H94" s="40"/>
      <c r="I94" s="38" t="str">
        <f t="shared" si="6"/>
        <v/>
      </c>
      <c r="J94" s="40"/>
      <c r="K94" s="38" t="str">
        <f t="shared" si="7"/>
        <v/>
      </c>
    </row>
    <row r="95" spans="2:11" ht="14.25" customHeight="1" x14ac:dyDescent="0.15">
      <c r="B95" s="38">
        <v>90</v>
      </c>
      <c r="C95" s="49"/>
      <c r="D95" s="39"/>
      <c r="E95" s="36" t="str">
        <f t="shared" si="5"/>
        <v/>
      </c>
      <c r="F95" s="40"/>
      <c r="G95" s="36" t="str">
        <f t="shared" si="8"/>
        <v/>
      </c>
      <c r="H95" s="40"/>
      <c r="I95" s="38" t="str">
        <f t="shared" si="6"/>
        <v/>
      </c>
      <c r="J95" s="40"/>
      <c r="K95" s="38" t="str">
        <f t="shared" si="7"/>
        <v/>
      </c>
    </row>
    <row r="96" spans="2:11" ht="14.25" customHeight="1" x14ac:dyDescent="0.15">
      <c r="B96" s="38">
        <v>91</v>
      </c>
      <c r="C96" s="49"/>
      <c r="D96" s="39"/>
      <c r="E96" s="36" t="str">
        <f t="shared" si="5"/>
        <v/>
      </c>
      <c r="F96" s="40"/>
      <c r="G96" s="36" t="str">
        <f t="shared" si="8"/>
        <v/>
      </c>
      <c r="H96" s="40"/>
      <c r="I96" s="38" t="str">
        <f t="shared" si="6"/>
        <v/>
      </c>
      <c r="J96" s="40"/>
      <c r="K96" s="38" t="str">
        <f t="shared" si="7"/>
        <v/>
      </c>
    </row>
    <row r="97" spans="2:11" ht="14.25" customHeight="1" x14ac:dyDescent="0.15">
      <c r="B97" s="38">
        <v>92</v>
      </c>
      <c r="C97" s="49"/>
      <c r="D97" s="39"/>
      <c r="E97" s="36" t="str">
        <f t="shared" si="5"/>
        <v/>
      </c>
      <c r="F97" s="40"/>
      <c r="G97" s="36" t="str">
        <f t="shared" si="8"/>
        <v/>
      </c>
      <c r="H97" s="40"/>
      <c r="I97" s="38" t="str">
        <f t="shared" si="6"/>
        <v/>
      </c>
      <c r="J97" s="40"/>
      <c r="K97" s="38" t="str">
        <f t="shared" si="7"/>
        <v/>
      </c>
    </row>
    <row r="98" spans="2:11" ht="14.25" customHeight="1" x14ac:dyDescent="0.15">
      <c r="B98" s="38">
        <v>93</v>
      </c>
      <c r="C98" s="49"/>
      <c r="D98" s="39"/>
      <c r="E98" s="36" t="str">
        <f t="shared" si="5"/>
        <v/>
      </c>
      <c r="F98" s="40"/>
      <c r="G98" s="36" t="str">
        <f t="shared" si="8"/>
        <v/>
      </c>
      <c r="H98" s="40"/>
      <c r="I98" s="38" t="str">
        <f t="shared" si="6"/>
        <v/>
      </c>
      <c r="J98" s="40"/>
      <c r="K98" s="38" t="str">
        <f t="shared" si="7"/>
        <v/>
      </c>
    </row>
    <row r="99" spans="2:11" ht="14.25" customHeight="1" x14ac:dyDescent="0.15">
      <c r="B99" s="38">
        <v>94</v>
      </c>
      <c r="C99" s="49"/>
      <c r="D99" s="39"/>
      <c r="E99" s="36" t="str">
        <f t="shared" si="5"/>
        <v/>
      </c>
      <c r="F99" s="40"/>
      <c r="G99" s="36" t="str">
        <f t="shared" si="8"/>
        <v/>
      </c>
      <c r="H99" s="40"/>
      <c r="I99" s="38" t="str">
        <f t="shared" si="6"/>
        <v/>
      </c>
      <c r="J99" s="40"/>
      <c r="K99" s="38" t="str">
        <f t="shared" si="7"/>
        <v/>
      </c>
    </row>
    <row r="100" spans="2:11" ht="14.25" customHeight="1" x14ac:dyDescent="0.15">
      <c r="B100" s="38">
        <v>95</v>
      </c>
      <c r="C100" s="49"/>
      <c r="D100" s="39"/>
      <c r="E100" s="36" t="str">
        <f t="shared" si="5"/>
        <v/>
      </c>
      <c r="F100" s="40"/>
      <c r="G100" s="36" t="str">
        <f t="shared" si="8"/>
        <v/>
      </c>
      <c r="H100" s="40"/>
      <c r="I100" s="38" t="str">
        <f t="shared" si="6"/>
        <v/>
      </c>
      <c r="J100" s="40"/>
      <c r="K100" s="38" t="str">
        <f t="shared" si="7"/>
        <v/>
      </c>
    </row>
    <row r="101" spans="2:11" ht="14.25" customHeight="1" x14ac:dyDescent="0.15">
      <c r="B101" s="38">
        <v>96</v>
      </c>
      <c r="C101" s="49"/>
      <c r="D101" s="39"/>
      <c r="E101" s="36" t="str">
        <f t="shared" si="5"/>
        <v/>
      </c>
      <c r="F101" s="40"/>
      <c r="G101" s="36" t="str">
        <f t="shared" si="8"/>
        <v/>
      </c>
      <c r="H101" s="40"/>
      <c r="I101" s="38" t="str">
        <f t="shared" si="6"/>
        <v/>
      </c>
      <c r="J101" s="40"/>
      <c r="K101" s="38" t="str">
        <f t="shared" si="7"/>
        <v/>
      </c>
    </row>
    <row r="102" spans="2:11" ht="14.25" customHeight="1" x14ac:dyDescent="0.15">
      <c r="B102" s="38">
        <v>97</v>
      </c>
      <c r="C102" s="49"/>
      <c r="D102" s="39"/>
      <c r="E102" s="36" t="str">
        <f t="shared" si="5"/>
        <v/>
      </c>
      <c r="F102" s="40"/>
      <c r="G102" s="36" t="str">
        <f t="shared" si="8"/>
        <v/>
      </c>
      <c r="H102" s="40"/>
      <c r="I102" s="38" t="str">
        <f t="shared" si="6"/>
        <v/>
      </c>
      <c r="J102" s="40"/>
      <c r="K102" s="38" t="str">
        <f t="shared" si="7"/>
        <v/>
      </c>
    </row>
    <row r="103" spans="2:11" ht="14.25" customHeight="1" x14ac:dyDescent="0.15">
      <c r="B103" s="38">
        <v>98</v>
      </c>
      <c r="C103" s="49"/>
      <c r="D103" s="39"/>
      <c r="E103" s="36" t="str">
        <f t="shared" si="5"/>
        <v/>
      </c>
      <c r="F103" s="40"/>
      <c r="G103" s="36" t="str">
        <f t="shared" si="8"/>
        <v/>
      </c>
      <c r="H103" s="40"/>
      <c r="I103" s="38" t="str">
        <f t="shared" si="6"/>
        <v/>
      </c>
      <c r="J103" s="40"/>
      <c r="K103" s="38" t="str">
        <f t="shared" si="7"/>
        <v/>
      </c>
    </row>
    <row r="104" spans="2:11" ht="14.25" customHeight="1" x14ac:dyDescent="0.15">
      <c r="B104" s="38">
        <v>99</v>
      </c>
      <c r="C104" s="49"/>
      <c r="D104" s="39"/>
      <c r="E104" s="36" t="str">
        <f t="shared" si="5"/>
        <v/>
      </c>
      <c r="F104" s="40"/>
      <c r="G104" s="36" t="str">
        <f t="shared" si="8"/>
        <v/>
      </c>
      <c r="H104" s="40"/>
      <c r="I104" s="38" t="str">
        <f t="shared" si="6"/>
        <v/>
      </c>
      <c r="J104" s="40"/>
      <c r="K104" s="38" t="str">
        <f t="shared" si="7"/>
        <v/>
      </c>
    </row>
    <row r="105" spans="2:11" ht="14.25" customHeight="1" x14ac:dyDescent="0.15">
      <c r="B105" s="38">
        <v>100</v>
      </c>
      <c r="C105" s="49"/>
      <c r="D105" s="39"/>
      <c r="E105" s="36" t="str">
        <f t="shared" si="5"/>
        <v/>
      </c>
      <c r="F105" s="40"/>
      <c r="G105" s="36" t="str">
        <f t="shared" si="8"/>
        <v/>
      </c>
      <c r="H105" s="40"/>
      <c r="I105" s="38" t="str">
        <f t="shared" si="6"/>
        <v/>
      </c>
      <c r="J105" s="40"/>
      <c r="K105" s="38" t="str">
        <f t="shared" si="7"/>
        <v/>
      </c>
    </row>
    <row r="106" spans="2:11" ht="14.25" customHeight="1" x14ac:dyDescent="0.15"/>
    <row r="107" spans="2:11" ht="14.25" customHeight="1" x14ac:dyDescent="0.15"/>
    <row r="108" spans="2:11" ht="14.25" customHeight="1" x14ac:dyDescent="0.15"/>
    <row r="109" spans="2:11" ht="14.25" customHeight="1" x14ac:dyDescent="0.15"/>
    <row r="110" spans="2:11" ht="14.25" customHeight="1" x14ac:dyDescent="0.15"/>
    <row r="111" spans="2:11" ht="14.25" customHeight="1" x14ac:dyDescent="0.15"/>
    <row r="112" spans="2:11" ht="14.25" customHeight="1" x14ac:dyDescent="0.15"/>
    <row r="113" ht="14.25" customHeight="1" x14ac:dyDescent="0.15"/>
    <row r="114" ht="14.25" customHeight="1" x14ac:dyDescent="0.15"/>
    <row r="115" ht="14.25" customHeight="1" x14ac:dyDescent="0.15"/>
    <row r="116" ht="14.25" customHeight="1" x14ac:dyDescent="0.15"/>
    <row r="117" ht="14.25" customHeight="1" x14ac:dyDescent="0.15"/>
    <row r="118" ht="14.25" customHeight="1" x14ac:dyDescent="0.15"/>
    <row r="119" ht="14.25" customHeight="1" x14ac:dyDescent="0.15"/>
    <row r="120" ht="14.25" customHeight="1" x14ac:dyDescent="0.15"/>
  </sheetData>
  <phoneticPr fontId="2"/>
  <pageMargins left="0.75" right="0.75" top="1" bottom="1"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2" r:id="rId4" name="btnReSelect">
          <controlPr defaultSize="0" autoLine="0" r:id="rId5">
            <anchor moveWithCells="1">
              <from>
                <xdr:col>9</xdr:col>
                <xdr:colOff>0</xdr:colOff>
                <xdr:row>0</xdr:row>
                <xdr:rowOff>47625</xdr:rowOff>
              </from>
              <to>
                <xdr:col>9</xdr:col>
                <xdr:colOff>895350</xdr:colOff>
                <xdr:row>2</xdr:row>
                <xdr:rowOff>47625</xdr:rowOff>
              </to>
            </anchor>
          </controlPr>
        </control>
      </mc:Choice>
      <mc:Fallback>
        <control shapeId="9220" r:id="rId4" name="btnReSelect"/>
      </mc:Fallback>
    </mc:AlternateContent>
    <mc:AlternateContent xmlns:mc="http://schemas.openxmlformats.org/markup-compatibility/2006">
      <mc:Choice Requires="x14">
        <control shapeId="9218" r:id="rId6" name="CommandButton2">
          <controlPr defaultSize="0" autoLine="0" r:id="rId7">
            <anchor moveWithCells="1">
              <from>
                <xdr:col>10</xdr:col>
                <xdr:colOff>352425</xdr:colOff>
                <xdr:row>0</xdr:row>
                <xdr:rowOff>47625</xdr:rowOff>
              </from>
              <to>
                <xdr:col>11</xdr:col>
                <xdr:colOff>228600</xdr:colOff>
                <xdr:row>2</xdr:row>
                <xdr:rowOff>66675</xdr:rowOff>
              </to>
            </anchor>
          </controlPr>
        </control>
      </mc:Choice>
      <mc:Fallback>
        <control shapeId="9218" r:id="rId6" name="CommandButton2"/>
      </mc:Fallback>
    </mc:AlternateContent>
    <mc:AlternateContent xmlns:mc="http://schemas.openxmlformats.org/markup-compatibility/2006">
      <mc:Choice Requires="x14">
        <control shapeId="9217" r:id="rId8" name="CommandButton1">
          <controlPr defaultSize="0" autoLine="0" r:id="rId9">
            <anchor moveWithCells="1">
              <from>
                <xdr:col>8</xdr:col>
                <xdr:colOff>0</xdr:colOff>
                <xdr:row>0</xdr:row>
                <xdr:rowOff>47625</xdr:rowOff>
              </from>
              <to>
                <xdr:col>8</xdr:col>
                <xdr:colOff>895350</xdr:colOff>
                <xdr:row>2</xdr:row>
                <xdr:rowOff>57150</xdr:rowOff>
              </to>
            </anchor>
          </controlPr>
        </control>
      </mc:Choice>
      <mc:Fallback>
        <control shapeId="9217" r:id="rId8"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B1:O109"/>
  <sheetViews>
    <sheetView zoomScaleNormal="100" workbookViewId="0"/>
  </sheetViews>
  <sheetFormatPr defaultRowHeight="13.5" x14ac:dyDescent="0.15"/>
  <cols>
    <col min="1" max="1" width="2.625" style="1" customWidth="1"/>
    <col min="2" max="7" width="13.25" style="1" customWidth="1"/>
    <col min="8" max="9" width="9.5" style="1" customWidth="1"/>
    <col min="10" max="10" width="3.375" style="1" customWidth="1"/>
    <col min="11" max="12" width="9.5" style="1" customWidth="1"/>
    <col min="13" max="16384" width="9" style="1"/>
  </cols>
  <sheetData>
    <row r="1" spans="2:15" x14ac:dyDescent="0.15">
      <c r="E1" s="1" t="s">
        <v>38</v>
      </c>
    </row>
    <row r="2" spans="2:15" x14ac:dyDescent="0.15">
      <c r="B2" s="1" t="s">
        <v>0</v>
      </c>
      <c r="C2" s="1" t="s">
        <v>14</v>
      </c>
      <c r="E2" s="2" t="s">
        <v>29</v>
      </c>
      <c r="F2" s="3">
        <f>MAX(D10:D109)/C4*100</f>
        <v>69.16418833680666</v>
      </c>
    </row>
    <row r="3" spans="2:15" x14ac:dyDescent="0.15">
      <c r="B3" s="1" t="s">
        <v>61</v>
      </c>
      <c r="C3" s="1">
        <v>3</v>
      </c>
      <c r="E3" s="4" t="s">
        <v>39</v>
      </c>
      <c r="F3" s="3">
        <f>C4-MAX(D10:D109)</f>
        <v>73.418441825049882</v>
      </c>
      <c r="H3" s="1" t="s">
        <v>7</v>
      </c>
      <c r="J3" s="5"/>
      <c r="K3" s="1" t="s">
        <v>8</v>
      </c>
      <c r="N3" s="5" t="s">
        <v>64</v>
      </c>
      <c r="O3" s="5"/>
    </row>
    <row r="4" spans="2:15" ht="14.25" thickBot="1" x14ac:dyDescent="0.2">
      <c r="B4" s="6" t="s">
        <v>11</v>
      </c>
      <c r="C4" s="24">
        <v>238.09472773724522</v>
      </c>
      <c r="E4" s="61" t="s">
        <v>6</v>
      </c>
      <c r="F4" s="62"/>
      <c r="H4" s="7">
        <v>0.95</v>
      </c>
      <c r="I4" s="8" t="s">
        <v>9</v>
      </c>
      <c r="J4" s="5"/>
      <c r="K4" s="9">
        <v>0.99</v>
      </c>
      <c r="L4" s="10" t="s">
        <v>9</v>
      </c>
      <c r="N4" s="15" t="s">
        <v>25</v>
      </c>
      <c r="O4" s="31">
        <f>C7*LN((2*3.14*E5/C7)+1)+2*(C3+1)</f>
        <v>26.939661965588918</v>
      </c>
    </row>
    <row r="5" spans="2:15" x14ac:dyDescent="0.15">
      <c r="B5" s="6" t="s">
        <v>12</v>
      </c>
      <c r="C5" s="24">
        <v>3.4045371035072609</v>
      </c>
      <c r="E5" s="63">
        <f>SUM(F10:F109)</f>
        <v>12.318766028299519</v>
      </c>
      <c r="F5" s="64"/>
      <c r="H5" s="23">
        <f>C4*0.95</f>
        <v>226.18999135038294</v>
      </c>
      <c r="I5" s="22">
        <f>-(LN($C$4-$H$5)-LN($H$5*$C$5))/$C$6</f>
        <v>100.49992386600687</v>
      </c>
      <c r="J5" s="5"/>
      <c r="K5" s="22">
        <f>C4*0.99</f>
        <v>235.71378045987277</v>
      </c>
      <c r="L5" s="22">
        <f>-(LN($C$4-$K$5)-LN($H$5*$C$5))/$C$6</f>
        <v>139.2927112582463</v>
      </c>
    </row>
    <row r="6" spans="2:15" x14ac:dyDescent="0.15">
      <c r="B6" s="6" t="s">
        <v>13</v>
      </c>
      <c r="C6" s="24">
        <v>4.14880708663918E-2</v>
      </c>
      <c r="E6" s="1" t="s">
        <v>10</v>
      </c>
      <c r="H6" s="1" t="s">
        <v>10</v>
      </c>
      <c r="J6" s="5"/>
      <c r="K6" s="1" t="s">
        <v>10</v>
      </c>
    </row>
    <row r="7" spans="2:15" x14ac:dyDescent="0.15">
      <c r="B7" s="14" t="s">
        <v>30</v>
      </c>
      <c r="C7" s="29">
        <f>COUNT(C10:C109)</f>
        <v>8</v>
      </c>
    </row>
    <row r="8" spans="2:15" x14ac:dyDescent="0.15">
      <c r="B8" s="15" t="s">
        <v>1</v>
      </c>
    </row>
    <row r="9" spans="2:15" ht="27.75" thickBot="1" x14ac:dyDescent="0.2">
      <c r="B9" s="16" t="s">
        <v>45</v>
      </c>
      <c r="C9" s="17" t="s">
        <v>3</v>
      </c>
      <c r="D9" s="17" t="s">
        <v>34</v>
      </c>
      <c r="E9" s="17" t="s">
        <v>4</v>
      </c>
      <c r="F9" s="17" t="s">
        <v>5</v>
      </c>
      <c r="G9" s="18"/>
    </row>
    <row r="10" spans="2:15" x14ac:dyDescent="0.15">
      <c r="B10" s="19">
        <f>IF(データ入力!E6="","",データ入力!E6)</f>
        <v>0</v>
      </c>
      <c r="C10" s="19">
        <f>IF(データ入力!G6="","",データ入力!G6)</f>
        <v>1</v>
      </c>
      <c r="D10" s="20">
        <f>IF(B10="","",IF(B10=0,0,$C$4/(1+$C$5*EXP(-$C$6*B10))))</f>
        <v>0</v>
      </c>
      <c r="E10" s="20">
        <f>IF(B10="","",C10-D10)</f>
        <v>1</v>
      </c>
      <c r="F10" s="20">
        <f>IF(B10="","",E10^2)</f>
        <v>1</v>
      </c>
      <c r="G10" s="21"/>
    </row>
    <row r="11" spans="2:15" x14ac:dyDescent="0.15">
      <c r="B11" s="19">
        <f>IF(データ入力!E7="","",データ入力!E7)</f>
        <v>7</v>
      </c>
      <c r="C11" s="19">
        <f>IF(データ入力!G7="","",データ入力!G7)</f>
        <v>67</v>
      </c>
      <c r="D11" s="20">
        <f t="shared" ref="D11:D74" si="0">IF(B11="","",IF(B11=0,0,$C$4/(1+$C$5*EXP(-$C$6*B11))))</f>
        <v>67.136446776933724</v>
      </c>
      <c r="E11" s="20">
        <f t="shared" ref="E11:E74" si="1">IF(B11="","",C11-D11)</f>
        <v>-0.13644677693372387</v>
      </c>
      <c r="F11" s="20">
        <f t="shared" ref="F11:F74" si="2">IF(B11="","",E11^2)</f>
        <v>1.8617722935601398E-2</v>
      </c>
      <c r="G11" s="21"/>
    </row>
    <row r="12" spans="2:15" x14ac:dyDescent="0.15">
      <c r="B12" s="19">
        <f>IF(データ入力!E8="","",データ入力!E8)</f>
        <v>14</v>
      </c>
      <c r="C12" s="19">
        <f>IF(データ入力!G8="","",データ入力!G8)</f>
        <v>81</v>
      </c>
      <c r="D12" s="20">
        <f t="shared" si="0"/>
        <v>81.971392436028879</v>
      </c>
      <c r="E12" s="20">
        <f t="shared" si="1"/>
        <v>-0.97139243602887859</v>
      </c>
      <c r="F12" s="20">
        <f t="shared" si="2"/>
        <v>0.94360326477411893</v>
      </c>
      <c r="G12" s="21"/>
    </row>
    <row r="13" spans="2:15" x14ac:dyDescent="0.15">
      <c r="B13" s="19">
        <f>IF(データ入力!E9="","",データ入力!E9)</f>
        <v>21</v>
      </c>
      <c r="C13" s="19">
        <f>IF(データ入力!G9="","",データ入力!G9)</f>
        <v>99</v>
      </c>
      <c r="D13" s="20">
        <f t="shared" si="0"/>
        <v>98.201412665453432</v>
      </c>
      <c r="E13" s="20">
        <f t="shared" si="1"/>
        <v>0.79858733454656772</v>
      </c>
      <c r="F13" s="20">
        <f t="shared" si="2"/>
        <v>0.63774173089819164</v>
      </c>
      <c r="G13" s="21"/>
    </row>
    <row r="14" spans="2:15" x14ac:dyDescent="0.15">
      <c r="B14" s="19">
        <f>IF(データ入力!E10="","",データ入力!E10)</f>
        <v>28</v>
      </c>
      <c r="C14" s="19">
        <f>IF(データ入力!G10="","",データ入力!G10)</f>
        <v>117</v>
      </c>
      <c r="D14" s="20">
        <f t="shared" si="0"/>
        <v>115.2722690652559</v>
      </c>
      <c r="E14" s="20">
        <f t="shared" si="1"/>
        <v>1.7277309347441019</v>
      </c>
      <c r="F14" s="20">
        <f t="shared" si="2"/>
        <v>2.9850541828717279</v>
      </c>
      <c r="G14" s="21"/>
    </row>
    <row r="15" spans="2:15" x14ac:dyDescent="0.15">
      <c r="B15" s="19">
        <f>IF(データ入力!E11="","",データ入力!E11)</f>
        <v>35</v>
      </c>
      <c r="C15" s="19">
        <f>IF(データ入力!G11="","",データ入力!G11)</f>
        <v>132</v>
      </c>
      <c r="D15" s="20">
        <f t="shared" si="0"/>
        <v>132.49995850932663</v>
      </c>
      <c r="E15" s="20">
        <f t="shared" si="1"/>
        <v>-0.49995850932663188</v>
      </c>
      <c r="F15" s="20">
        <f t="shared" si="2"/>
        <v>0.24995851104810787</v>
      </c>
      <c r="G15" s="21"/>
    </row>
    <row r="16" spans="2:15" x14ac:dyDescent="0.15">
      <c r="B16" s="19">
        <f>IF(データ入力!E12="","",データ入力!E12)</f>
        <v>42</v>
      </c>
      <c r="C16" s="19">
        <f>IF(データ入力!G12="","",データ入力!G12)</f>
        <v>147</v>
      </c>
      <c r="D16" s="20">
        <f t="shared" si="0"/>
        <v>149.17521760509592</v>
      </c>
      <c r="E16" s="20">
        <f t="shared" si="1"/>
        <v>-2.1752176050959235</v>
      </c>
      <c r="F16" s="20">
        <f t="shared" si="2"/>
        <v>4.7315716295192454</v>
      </c>
      <c r="G16" s="21"/>
    </row>
    <row r="17" spans="2:7" x14ac:dyDescent="0.15">
      <c r="B17" s="19">
        <f>IF(データ入力!E13="","",データ入力!E13)</f>
        <v>49</v>
      </c>
      <c r="C17" s="19">
        <f>IF(データ入力!G13="","",データ入力!G13)</f>
        <v>166</v>
      </c>
      <c r="D17" s="20">
        <f t="shared" si="0"/>
        <v>164.67628591219534</v>
      </c>
      <c r="E17" s="20">
        <f t="shared" si="1"/>
        <v>1.3237140878046603</v>
      </c>
      <c r="F17" s="20">
        <f t="shared" si="2"/>
        <v>1.7522189862525239</v>
      </c>
      <c r="G17" s="21"/>
    </row>
    <row r="18" spans="2:7" x14ac:dyDescent="0.15">
      <c r="B18" s="19" t="str">
        <f>IF(データ入力!E14="","",データ入力!E14)</f>
        <v/>
      </c>
      <c r="C18" s="19" t="str">
        <f>IF(データ入力!G14="","",データ入力!G14)</f>
        <v/>
      </c>
      <c r="D18" s="20" t="str">
        <f t="shared" si="0"/>
        <v/>
      </c>
      <c r="E18" s="20" t="str">
        <f t="shared" si="1"/>
        <v/>
      </c>
      <c r="F18" s="20" t="str">
        <f t="shared" si="2"/>
        <v/>
      </c>
      <c r="G18" s="21"/>
    </row>
    <row r="19" spans="2:7" x14ac:dyDescent="0.15">
      <c r="B19" s="19" t="str">
        <f>IF(データ入力!E15="","",データ入力!E15)</f>
        <v/>
      </c>
      <c r="C19" s="19" t="str">
        <f>IF(データ入力!G15="","",データ入力!G15)</f>
        <v/>
      </c>
      <c r="D19" s="20" t="str">
        <f t="shared" si="0"/>
        <v/>
      </c>
      <c r="E19" s="20" t="str">
        <f t="shared" si="1"/>
        <v/>
      </c>
      <c r="F19" s="20" t="str">
        <f t="shared" si="2"/>
        <v/>
      </c>
      <c r="G19" s="21"/>
    </row>
    <row r="20" spans="2:7" x14ac:dyDescent="0.15">
      <c r="B20" s="19" t="str">
        <f>IF(データ入力!E16="","",データ入力!E16)</f>
        <v/>
      </c>
      <c r="C20" s="19" t="str">
        <f>IF(データ入力!G16="","",データ入力!G16)</f>
        <v/>
      </c>
      <c r="D20" s="20" t="str">
        <f t="shared" si="0"/>
        <v/>
      </c>
      <c r="E20" s="20" t="str">
        <f t="shared" si="1"/>
        <v/>
      </c>
      <c r="F20" s="20" t="str">
        <f t="shared" si="2"/>
        <v/>
      </c>
      <c r="G20" s="21"/>
    </row>
    <row r="21" spans="2:7" x14ac:dyDescent="0.15">
      <c r="B21" s="19" t="str">
        <f>IF(データ入力!E17="","",データ入力!E17)</f>
        <v/>
      </c>
      <c r="C21" s="19" t="str">
        <f>IF(データ入力!G17="","",データ入力!G17)</f>
        <v/>
      </c>
      <c r="D21" s="20" t="str">
        <f t="shared" si="0"/>
        <v/>
      </c>
      <c r="E21" s="20" t="str">
        <f t="shared" si="1"/>
        <v/>
      </c>
      <c r="F21" s="20" t="str">
        <f t="shared" si="2"/>
        <v/>
      </c>
      <c r="G21" s="21"/>
    </row>
    <row r="22" spans="2:7" x14ac:dyDescent="0.15">
      <c r="B22" s="19" t="str">
        <f>IF(データ入力!E18="","",データ入力!E18)</f>
        <v/>
      </c>
      <c r="C22" s="19" t="str">
        <f>IF(データ入力!G18="","",データ入力!G18)</f>
        <v/>
      </c>
      <c r="D22" s="20" t="str">
        <f t="shared" si="0"/>
        <v/>
      </c>
      <c r="E22" s="20" t="str">
        <f t="shared" si="1"/>
        <v/>
      </c>
      <c r="F22" s="20" t="str">
        <f t="shared" si="2"/>
        <v/>
      </c>
      <c r="G22" s="21"/>
    </row>
    <row r="23" spans="2:7" x14ac:dyDescent="0.15">
      <c r="B23" s="19" t="str">
        <f>IF(データ入力!E19="","",データ入力!E19)</f>
        <v/>
      </c>
      <c r="C23" s="19" t="str">
        <f>IF(データ入力!G19="","",データ入力!G19)</f>
        <v/>
      </c>
      <c r="D23" s="20" t="str">
        <f t="shared" si="0"/>
        <v/>
      </c>
      <c r="E23" s="20" t="str">
        <f t="shared" si="1"/>
        <v/>
      </c>
      <c r="F23" s="20" t="str">
        <f t="shared" si="2"/>
        <v/>
      </c>
      <c r="G23" s="21"/>
    </row>
    <row r="24" spans="2:7" x14ac:dyDescent="0.15">
      <c r="B24" s="19" t="str">
        <f>IF(データ入力!E20="","",データ入力!E20)</f>
        <v/>
      </c>
      <c r="C24" s="19" t="str">
        <f>IF(データ入力!G20="","",データ入力!G20)</f>
        <v/>
      </c>
      <c r="D24" s="20" t="str">
        <f t="shared" si="0"/>
        <v/>
      </c>
      <c r="E24" s="20" t="str">
        <f t="shared" si="1"/>
        <v/>
      </c>
      <c r="F24" s="20" t="str">
        <f t="shared" si="2"/>
        <v/>
      </c>
      <c r="G24" s="21"/>
    </row>
    <row r="25" spans="2:7" x14ac:dyDescent="0.15">
      <c r="B25" s="19" t="str">
        <f>IF(データ入力!E21="","",データ入力!E21)</f>
        <v/>
      </c>
      <c r="C25" s="19" t="str">
        <f>IF(データ入力!G21="","",データ入力!G21)</f>
        <v/>
      </c>
      <c r="D25" s="20" t="str">
        <f t="shared" si="0"/>
        <v/>
      </c>
      <c r="E25" s="20" t="str">
        <f t="shared" si="1"/>
        <v/>
      </c>
      <c r="F25" s="20" t="str">
        <f t="shared" si="2"/>
        <v/>
      </c>
      <c r="G25" s="21"/>
    </row>
    <row r="26" spans="2:7" x14ac:dyDescent="0.15">
      <c r="B26" s="19" t="str">
        <f>IF(データ入力!E22="","",データ入力!E22)</f>
        <v/>
      </c>
      <c r="C26" s="19" t="str">
        <f>IF(データ入力!G22="","",データ入力!G22)</f>
        <v/>
      </c>
      <c r="D26" s="20" t="str">
        <f t="shared" si="0"/>
        <v/>
      </c>
      <c r="E26" s="20" t="str">
        <f t="shared" si="1"/>
        <v/>
      </c>
      <c r="F26" s="20" t="str">
        <f t="shared" si="2"/>
        <v/>
      </c>
      <c r="G26" s="21"/>
    </row>
    <row r="27" spans="2:7" x14ac:dyDescent="0.15">
      <c r="B27" s="19" t="str">
        <f>IF(データ入力!E23="","",データ入力!E23)</f>
        <v/>
      </c>
      <c r="C27" s="19" t="str">
        <f>IF(データ入力!G23="","",データ入力!G23)</f>
        <v/>
      </c>
      <c r="D27" s="20" t="str">
        <f t="shared" si="0"/>
        <v/>
      </c>
      <c r="E27" s="20" t="str">
        <f t="shared" si="1"/>
        <v/>
      </c>
      <c r="F27" s="20" t="str">
        <f t="shared" si="2"/>
        <v/>
      </c>
      <c r="G27" s="21"/>
    </row>
    <row r="28" spans="2:7" x14ac:dyDescent="0.15">
      <c r="B28" s="19" t="str">
        <f>IF(データ入力!E24="","",データ入力!E24)</f>
        <v/>
      </c>
      <c r="C28" s="19" t="str">
        <f>IF(データ入力!G24="","",データ入力!G24)</f>
        <v/>
      </c>
      <c r="D28" s="20" t="str">
        <f t="shared" si="0"/>
        <v/>
      </c>
      <c r="E28" s="20" t="str">
        <f t="shared" si="1"/>
        <v/>
      </c>
      <c r="F28" s="20" t="str">
        <f t="shared" si="2"/>
        <v/>
      </c>
      <c r="G28" s="21"/>
    </row>
    <row r="29" spans="2:7" x14ac:dyDescent="0.15">
      <c r="B29" s="19" t="str">
        <f>IF(データ入力!E25="","",データ入力!E25)</f>
        <v/>
      </c>
      <c r="C29" s="19" t="str">
        <f>IF(データ入力!G25="","",データ入力!G25)</f>
        <v/>
      </c>
      <c r="D29" s="20" t="str">
        <f t="shared" si="0"/>
        <v/>
      </c>
      <c r="E29" s="20" t="str">
        <f t="shared" si="1"/>
        <v/>
      </c>
      <c r="F29" s="20" t="str">
        <f t="shared" si="2"/>
        <v/>
      </c>
      <c r="G29" s="21"/>
    </row>
    <row r="30" spans="2:7" x14ac:dyDescent="0.15">
      <c r="B30" s="19" t="str">
        <f>IF(データ入力!E26="","",データ入力!E26)</f>
        <v/>
      </c>
      <c r="C30" s="19" t="str">
        <f>IF(データ入力!G26="","",データ入力!G26)</f>
        <v/>
      </c>
      <c r="D30" s="20" t="str">
        <f t="shared" si="0"/>
        <v/>
      </c>
      <c r="E30" s="20" t="str">
        <f t="shared" si="1"/>
        <v/>
      </c>
      <c r="F30" s="20" t="str">
        <f t="shared" si="2"/>
        <v/>
      </c>
      <c r="G30" s="21"/>
    </row>
    <row r="31" spans="2:7" x14ac:dyDescent="0.15">
      <c r="B31" s="19" t="str">
        <f>IF(データ入力!E27="","",データ入力!E27)</f>
        <v/>
      </c>
      <c r="C31" s="19" t="str">
        <f>IF(データ入力!G27="","",データ入力!G27)</f>
        <v/>
      </c>
      <c r="D31" s="20" t="str">
        <f t="shared" si="0"/>
        <v/>
      </c>
      <c r="E31" s="20" t="str">
        <f t="shared" si="1"/>
        <v/>
      </c>
      <c r="F31" s="20" t="str">
        <f t="shared" si="2"/>
        <v/>
      </c>
      <c r="G31" s="21"/>
    </row>
    <row r="32" spans="2:7" x14ac:dyDescent="0.15">
      <c r="B32" s="19" t="str">
        <f>IF(データ入力!E28="","",データ入力!E28)</f>
        <v/>
      </c>
      <c r="C32" s="19" t="str">
        <f>IF(データ入力!G28="","",データ入力!G28)</f>
        <v/>
      </c>
      <c r="D32" s="20" t="str">
        <f t="shared" si="0"/>
        <v/>
      </c>
      <c r="E32" s="20" t="str">
        <f t="shared" si="1"/>
        <v/>
      </c>
      <c r="F32" s="20" t="str">
        <f t="shared" si="2"/>
        <v/>
      </c>
      <c r="G32" s="21"/>
    </row>
    <row r="33" spans="2:9" x14ac:dyDescent="0.15">
      <c r="B33" s="19" t="str">
        <f>IF(データ入力!E29="","",データ入力!E29)</f>
        <v/>
      </c>
      <c r="C33" s="19" t="str">
        <f>IF(データ入力!G29="","",データ入力!G29)</f>
        <v/>
      </c>
      <c r="D33" s="20" t="str">
        <f t="shared" si="0"/>
        <v/>
      </c>
      <c r="E33" s="20" t="str">
        <f t="shared" si="1"/>
        <v/>
      </c>
      <c r="F33" s="20" t="str">
        <f t="shared" si="2"/>
        <v/>
      </c>
      <c r="G33" s="21"/>
    </row>
    <row r="34" spans="2:9" x14ac:dyDescent="0.15">
      <c r="B34" s="19" t="str">
        <f>IF(データ入力!E30="","",データ入力!E30)</f>
        <v/>
      </c>
      <c r="C34" s="19" t="str">
        <f>IF(データ入力!G30="","",データ入力!G30)</f>
        <v/>
      </c>
      <c r="D34" s="20" t="str">
        <f t="shared" si="0"/>
        <v/>
      </c>
      <c r="E34" s="20" t="str">
        <f t="shared" si="1"/>
        <v/>
      </c>
      <c r="F34" s="20" t="str">
        <f t="shared" si="2"/>
        <v/>
      </c>
      <c r="G34" s="21"/>
      <c r="H34" s="1" t="s">
        <v>37</v>
      </c>
    </row>
    <row r="35" spans="2:9" x14ac:dyDescent="0.15">
      <c r="B35" s="19" t="str">
        <f>IF(データ入力!E31="","",データ入力!E31)</f>
        <v/>
      </c>
      <c r="C35" s="19" t="str">
        <f>IF(データ入力!G31="","",データ入力!G31)</f>
        <v/>
      </c>
      <c r="D35" s="20" t="str">
        <f t="shared" si="0"/>
        <v/>
      </c>
      <c r="E35" s="20" t="str">
        <f t="shared" si="1"/>
        <v/>
      </c>
      <c r="F35" s="20" t="str">
        <f t="shared" si="2"/>
        <v/>
      </c>
      <c r="G35" s="21"/>
      <c r="H35" s="1" t="s">
        <v>35</v>
      </c>
    </row>
    <row r="36" spans="2:9" x14ac:dyDescent="0.15">
      <c r="B36" s="19" t="str">
        <f>IF(データ入力!E32="","",データ入力!E32)</f>
        <v/>
      </c>
      <c r="C36" s="19" t="str">
        <f>IF(データ入力!G32="","",データ入力!G32)</f>
        <v/>
      </c>
      <c r="D36" s="20" t="str">
        <f t="shared" si="0"/>
        <v/>
      </c>
      <c r="E36" s="20" t="str">
        <f t="shared" si="1"/>
        <v/>
      </c>
      <c r="F36" s="20" t="str">
        <f t="shared" si="2"/>
        <v/>
      </c>
      <c r="G36" s="21"/>
      <c r="H36" s="2">
        <v>0</v>
      </c>
      <c r="I36" s="3">
        <f>$H$5</f>
        <v>226.18999135038294</v>
      </c>
    </row>
    <row r="37" spans="2:9" x14ac:dyDescent="0.15">
      <c r="B37" s="19" t="str">
        <f>IF(データ入力!E33="","",データ入力!E33)</f>
        <v/>
      </c>
      <c r="C37" s="19" t="str">
        <f>IF(データ入力!G33="","",データ入力!G33)</f>
        <v/>
      </c>
      <c r="D37" s="20" t="str">
        <f t="shared" si="0"/>
        <v/>
      </c>
      <c r="E37" s="20" t="str">
        <f t="shared" si="1"/>
        <v/>
      </c>
      <c r="F37" s="20" t="str">
        <f t="shared" si="2"/>
        <v/>
      </c>
      <c r="G37" s="21"/>
      <c r="H37" s="2">
        <f>MAX(B10:B109)</f>
        <v>49</v>
      </c>
      <c r="I37" s="3">
        <f>$H$5</f>
        <v>226.18999135038294</v>
      </c>
    </row>
    <row r="38" spans="2:9" x14ac:dyDescent="0.15">
      <c r="B38" s="19" t="str">
        <f>IF(データ入力!E34="","",データ入力!E34)</f>
        <v/>
      </c>
      <c r="C38" s="19" t="str">
        <f>IF(データ入力!G34="","",データ入力!G34)</f>
        <v/>
      </c>
      <c r="D38" s="20" t="str">
        <f t="shared" si="0"/>
        <v/>
      </c>
      <c r="E38" s="20" t="str">
        <f t="shared" si="1"/>
        <v/>
      </c>
      <c r="F38" s="20" t="str">
        <f t="shared" si="2"/>
        <v/>
      </c>
      <c r="G38" s="21"/>
      <c r="H38" s="1" t="s">
        <v>36</v>
      </c>
    </row>
    <row r="39" spans="2:9" x14ac:dyDescent="0.15">
      <c r="B39" s="19" t="str">
        <f>IF(データ入力!E35="","",データ入力!E35)</f>
        <v/>
      </c>
      <c r="C39" s="19" t="str">
        <f>IF(データ入力!G35="","",データ入力!G35)</f>
        <v/>
      </c>
      <c r="D39" s="20" t="str">
        <f t="shared" si="0"/>
        <v/>
      </c>
      <c r="E39" s="20" t="str">
        <f t="shared" si="1"/>
        <v/>
      </c>
      <c r="F39" s="20" t="str">
        <f t="shared" si="2"/>
        <v/>
      </c>
      <c r="G39" s="21"/>
      <c r="H39" s="2">
        <v>0</v>
      </c>
      <c r="I39" s="3">
        <f>$K$5</f>
        <v>235.71378045987277</v>
      </c>
    </row>
    <row r="40" spans="2:9" x14ac:dyDescent="0.15">
      <c r="B40" s="19" t="str">
        <f>IF(データ入力!E36="","",データ入力!E36)</f>
        <v/>
      </c>
      <c r="C40" s="19" t="str">
        <f>IF(データ入力!G36="","",データ入力!G36)</f>
        <v/>
      </c>
      <c r="D40" s="20" t="str">
        <f t="shared" si="0"/>
        <v/>
      </c>
      <c r="E40" s="20" t="str">
        <f t="shared" si="1"/>
        <v/>
      </c>
      <c r="F40" s="20" t="str">
        <f t="shared" si="2"/>
        <v/>
      </c>
      <c r="G40" s="21"/>
      <c r="H40" s="2">
        <f>MAX(B10:B109)</f>
        <v>49</v>
      </c>
      <c r="I40" s="3">
        <f>$K$5</f>
        <v>235.71378045987277</v>
      </c>
    </row>
    <row r="41" spans="2:9" x14ac:dyDescent="0.15">
      <c r="B41" s="19" t="str">
        <f>IF(データ入力!E37="","",データ入力!E37)</f>
        <v/>
      </c>
      <c r="C41" s="19" t="str">
        <f>IF(データ入力!G37="","",データ入力!G37)</f>
        <v/>
      </c>
      <c r="D41" s="20" t="str">
        <f t="shared" si="0"/>
        <v/>
      </c>
      <c r="E41" s="20" t="str">
        <f t="shared" si="1"/>
        <v/>
      </c>
      <c r="F41" s="20" t="str">
        <f t="shared" si="2"/>
        <v/>
      </c>
      <c r="G41" s="21"/>
    </row>
    <row r="42" spans="2:9" x14ac:dyDescent="0.15">
      <c r="B42" s="19" t="str">
        <f>IF(データ入力!E38="","",データ入力!E38)</f>
        <v/>
      </c>
      <c r="C42" s="19" t="str">
        <f>IF(データ入力!G38="","",データ入力!G38)</f>
        <v/>
      </c>
      <c r="D42" s="20" t="str">
        <f t="shared" si="0"/>
        <v/>
      </c>
      <c r="E42" s="20" t="str">
        <f t="shared" si="1"/>
        <v/>
      </c>
      <c r="F42" s="20" t="str">
        <f t="shared" si="2"/>
        <v/>
      </c>
      <c r="G42" s="21"/>
    </row>
    <row r="43" spans="2:9" x14ac:dyDescent="0.15">
      <c r="B43" s="19" t="str">
        <f>IF(データ入力!E39="","",データ入力!E39)</f>
        <v/>
      </c>
      <c r="C43" s="19" t="str">
        <f>IF(データ入力!G39="","",データ入力!G39)</f>
        <v/>
      </c>
      <c r="D43" s="20" t="str">
        <f t="shared" si="0"/>
        <v/>
      </c>
      <c r="E43" s="20" t="str">
        <f t="shared" si="1"/>
        <v/>
      </c>
      <c r="F43" s="20" t="str">
        <f t="shared" si="2"/>
        <v/>
      </c>
      <c r="G43" s="21"/>
    </row>
    <row r="44" spans="2:9" x14ac:dyDescent="0.15">
      <c r="B44" s="19" t="str">
        <f>IF(データ入力!E40="","",データ入力!E40)</f>
        <v/>
      </c>
      <c r="C44" s="19" t="str">
        <f>IF(データ入力!G40="","",データ入力!G40)</f>
        <v/>
      </c>
      <c r="D44" s="20" t="str">
        <f t="shared" si="0"/>
        <v/>
      </c>
      <c r="E44" s="20" t="str">
        <f t="shared" si="1"/>
        <v/>
      </c>
      <c r="F44" s="20" t="str">
        <f t="shared" si="2"/>
        <v/>
      </c>
      <c r="G44" s="21"/>
    </row>
    <row r="45" spans="2:9" x14ac:dyDescent="0.15">
      <c r="B45" s="19" t="str">
        <f>IF(データ入力!E41="","",データ入力!E41)</f>
        <v/>
      </c>
      <c r="C45" s="19" t="str">
        <f>IF(データ入力!G41="","",データ入力!G41)</f>
        <v/>
      </c>
      <c r="D45" s="20" t="str">
        <f t="shared" si="0"/>
        <v/>
      </c>
      <c r="E45" s="20" t="str">
        <f t="shared" si="1"/>
        <v/>
      </c>
      <c r="F45" s="20" t="str">
        <f t="shared" si="2"/>
        <v/>
      </c>
      <c r="G45" s="21"/>
    </row>
    <row r="46" spans="2:9" x14ac:dyDescent="0.15">
      <c r="B46" s="19" t="str">
        <f>IF(データ入力!E42="","",データ入力!E42)</f>
        <v/>
      </c>
      <c r="C46" s="19" t="str">
        <f>IF(データ入力!G42="","",データ入力!G42)</f>
        <v/>
      </c>
      <c r="D46" s="20" t="str">
        <f t="shared" si="0"/>
        <v/>
      </c>
      <c r="E46" s="20" t="str">
        <f t="shared" si="1"/>
        <v/>
      </c>
      <c r="F46" s="20" t="str">
        <f t="shared" si="2"/>
        <v/>
      </c>
      <c r="G46" s="21"/>
    </row>
    <row r="47" spans="2:9" x14ac:dyDescent="0.15">
      <c r="B47" s="19" t="str">
        <f>IF(データ入力!E43="","",データ入力!E43)</f>
        <v/>
      </c>
      <c r="C47" s="19" t="str">
        <f>IF(データ入力!G43="","",データ入力!G43)</f>
        <v/>
      </c>
      <c r="D47" s="20" t="str">
        <f t="shared" si="0"/>
        <v/>
      </c>
      <c r="E47" s="20" t="str">
        <f t="shared" si="1"/>
        <v/>
      </c>
      <c r="F47" s="20" t="str">
        <f t="shared" si="2"/>
        <v/>
      </c>
      <c r="G47" s="21"/>
    </row>
    <row r="48" spans="2:9" x14ac:dyDescent="0.15">
      <c r="B48" s="19" t="str">
        <f>IF(データ入力!E44="","",データ入力!E44)</f>
        <v/>
      </c>
      <c r="C48" s="19" t="str">
        <f>IF(データ入力!G44="","",データ入力!G44)</f>
        <v/>
      </c>
      <c r="D48" s="20" t="str">
        <f t="shared" si="0"/>
        <v/>
      </c>
      <c r="E48" s="20" t="str">
        <f t="shared" si="1"/>
        <v/>
      </c>
      <c r="F48" s="20" t="str">
        <f t="shared" si="2"/>
        <v/>
      </c>
      <c r="G48" s="21"/>
    </row>
    <row r="49" spans="2:7" x14ac:dyDescent="0.15">
      <c r="B49" s="19" t="str">
        <f>IF(データ入力!E45="","",データ入力!E45)</f>
        <v/>
      </c>
      <c r="C49" s="19" t="str">
        <f>IF(データ入力!G45="","",データ入力!G45)</f>
        <v/>
      </c>
      <c r="D49" s="20" t="str">
        <f t="shared" si="0"/>
        <v/>
      </c>
      <c r="E49" s="20" t="str">
        <f t="shared" si="1"/>
        <v/>
      </c>
      <c r="F49" s="20" t="str">
        <f t="shared" si="2"/>
        <v/>
      </c>
      <c r="G49" s="21"/>
    </row>
    <row r="50" spans="2:7" x14ac:dyDescent="0.15">
      <c r="B50" s="19" t="str">
        <f>IF(データ入力!E46="","",データ入力!E46)</f>
        <v/>
      </c>
      <c r="C50" s="19" t="str">
        <f>IF(データ入力!G46="","",データ入力!G46)</f>
        <v/>
      </c>
      <c r="D50" s="20" t="str">
        <f t="shared" si="0"/>
        <v/>
      </c>
      <c r="E50" s="20" t="str">
        <f t="shared" si="1"/>
        <v/>
      </c>
      <c r="F50" s="20" t="str">
        <f t="shared" si="2"/>
        <v/>
      </c>
      <c r="G50" s="21"/>
    </row>
    <row r="51" spans="2:7" x14ac:dyDescent="0.15">
      <c r="B51" s="19" t="str">
        <f>IF(データ入力!E47="","",データ入力!E47)</f>
        <v/>
      </c>
      <c r="C51" s="19" t="str">
        <f>IF(データ入力!G47="","",データ入力!G47)</f>
        <v/>
      </c>
      <c r="D51" s="20" t="str">
        <f t="shared" si="0"/>
        <v/>
      </c>
      <c r="E51" s="20" t="str">
        <f t="shared" si="1"/>
        <v/>
      </c>
      <c r="F51" s="20" t="str">
        <f t="shared" si="2"/>
        <v/>
      </c>
      <c r="G51" s="21"/>
    </row>
    <row r="52" spans="2:7" x14ac:dyDescent="0.15">
      <c r="B52" s="19" t="str">
        <f>IF(データ入力!E48="","",データ入力!E48)</f>
        <v/>
      </c>
      <c r="C52" s="19" t="str">
        <f>IF(データ入力!G48="","",データ入力!G48)</f>
        <v/>
      </c>
      <c r="D52" s="20" t="str">
        <f t="shared" si="0"/>
        <v/>
      </c>
      <c r="E52" s="20" t="str">
        <f t="shared" si="1"/>
        <v/>
      </c>
      <c r="F52" s="20" t="str">
        <f t="shared" si="2"/>
        <v/>
      </c>
      <c r="G52" s="21"/>
    </row>
    <row r="53" spans="2:7" x14ac:dyDescent="0.15">
      <c r="B53" s="19" t="str">
        <f>IF(データ入力!E49="","",データ入力!E49)</f>
        <v/>
      </c>
      <c r="C53" s="19" t="str">
        <f>IF(データ入力!G49="","",データ入力!G49)</f>
        <v/>
      </c>
      <c r="D53" s="20" t="str">
        <f t="shared" si="0"/>
        <v/>
      </c>
      <c r="E53" s="20" t="str">
        <f t="shared" si="1"/>
        <v/>
      </c>
      <c r="F53" s="20" t="str">
        <f t="shared" si="2"/>
        <v/>
      </c>
      <c r="G53" s="21"/>
    </row>
    <row r="54" spans="2:7" x14ac:dyDescent="0.15">
      <c r="B54" s="19" t="str">
        <f>IF(データ入力!E50="","",データ入力!E50)</f>
        <v/>
      </c>
      <c r="C54" s="19" t="str">
        <f>IF(データ入力!G50="","",データ入力!G50)</f>
        <v/>
      </c>
      <c r="D54" s="20" t="str">
        <f t="shared" si="0"/>
        <v/>
      </c>
      <c r="E54" s="20" t="str">
        <f t="shared" si="1"/>
        <v/>
      </c>
      <c r="F54" s="20" t="str">
        <f t="shared" si="2"/>
        <v/>
      </c>
      <c r="G54" s="21"/>
    </row>
    <row r="55" spans="2:7" x14ac:dyDescent="0.15">
      <c r="B55" s="19" t="str">
        <f>IF(データ入力!E51="","",データ入力!E51)</f>
        <v/>
      </c>
      <c r="C55" s="19" t="str">
        <f>IF(データ入力!G51="","",データ入力!G51)</f>
        <v/>
      </c>
      <c r="D55" s="20" t="str">
        <f t="shared" si="0"/>
        <v/>
      </c>
      <c r="E55" s="20" t="str">
        <f t="shared" si="1"/>
        <v/>
      </c>
      <c r="F55" s="20" t="str">
        <f t="shared" si="2"/>
        <v/>
      </c>
      <c r="G55" s="21"/>
    </row>
    <row r="56" spans="2:7" x14ac:dyDescent="0.15">
      <c r="B56" s="19" t="str">
        <f>IF(データ入力!E52="","",データ入力!E52)</f>
        <v/>
      </c>
      <c r="C56" s="19" t="str">
        <f>IF(データ入力!G52="","",データ入力!G52)</f>
        <v/>
      </c>
      <c r="D56" s="20" t="str">
        <f t="shared" si="0"/>
        <v/>
      </c>
      <c r="E56" s="20" t="str">
        <f t="shared" si="1"/>
        <v/>
      </c>
      <c r="F56" s="20" t="str">
        <f t="shared" si="2"/>
        <v/>
      </c>
      <c r="G56" s="21"/>
    </row>
    <row r="57" spans="2:7" x14ac:dyDescent="0.15">
      <c r="B57" s="19" t="str">
        <f>IF(データ入力!E53="","",データ入力!E53)</f>
        <v/>
      </c>
      <c r="C57" s="19" t="str">
        <f>IF(データ入力!G53="","",データ入力!G53)</f>
        <v/>
      </c>
      <c r="D57" s="20" t="str">
        <f t="shared" si="0"/>
        <v/>
      </c>
      <c r="E57" s="20" t="str">
        <f t="shared" si="1"/>
        <v/>
      </c>
      <c r="F57" s="20" t="str">
        <f t="shared" si="2"/>
        <v/>
      </c>
      <c r="G57" s="21"/>
    </row>
    <row r="58" spans="2:7" x14ac:dyDescent="0.15">
      <c r="B58" s="19" t="str">
        <f>IF(データ入力!E54="","",データ入力!E54)</f>
        <v/>
      </c>
      <c r="C58" s="19" t="str">
        <f>IF(データ入力!G54="","",データ入力!G54)</f>
        <v/>
      </c>
      <c r="D58" s="20" t="str">
        <f t="shared" si="0"/>
        <v/>
      </c>
      <c r="E58" s="20" t="str">
        <f t="shared" si="1"/>
        <v/>
      </c>
      <c r="F58" s="20" t="str">
        <f t="shared" si="2"/>
        <v/>
      </c>
      <c r="G58" s="21"/>
    </row>
    <row r="59" spans="2:7" x14ac:dyDescent="0.15">
      <c r="B59" s="19" t="str">
        <f>IF(データ入力!E55="","",データ入力!E55)</f>
        <v/>
      </c>
      <c r="C59" s="19" t="str">
        <f>IF(データ入力!G55="","",データ入力!G55)</f>
        <v/>
      </c>
      <c r="D59" s="20" t="str">
        <f t="shared" si="0"/>
        <v/>
      </c>
      <c r="E59" s="20" t="str">
        <f t="shared" si="1"/>
        <v/>
      </c>
      <c r="F59" s="20" t="str">
        <f t="shared" si="2"/>
        <v/>
      </c>
      <c r="G59" s="21"/>
    </row>
    <row r="60" spans="2:7" x14ac:dyDescent="0.15">
      <c r="B60" s="19" t="str">
        <f>IF(データ入力!E56="","",データ入力!E56)</f>
        <v/>
      </c>
      <c r="C60" s="19" t="str">
        <f>IF(データ入力!G56="","",データ入力!G56)</f>
        <v/>
      </c>
      <c r="D60" s="20" t="str">
        <f t="shared" si="0"/>
        <v/>
      </c>
      <c r="E60" s="20" t="str">
        <f t="shared" si="1"/>
        <v/>
      </c>
      <c r="F60" s="20" t="str">
        <f t="shared" si="2"/>
        <v/>
      </c>
      <c r="G60" s="21"/>
    </row>
    <row r="61" spans="2:7" x14ac:dyDescent="0.15">
      <c r="B61" s="19" t="str">
        <f>IF(データ入力!E57="","",データ入力!E57)</f>
        <v/>
      </c>
      <c r="C61" s="19" t="str">
        <f>IF(データ入力!G57="","",データ入力!G57)</f>
        <v/>
      </c>
      <c r="D61" s="20" t="str">
        <f t="shared" si="0"/>
        <v/>
      </c>
      <c r="E61" s="20" t="str">
        <f t="shared" si="1"/>
        <v/>
      </c>
      <c r="F61" s="20" t="str">
        <f t="shared" si="2"/>
        <v/>
      </c>
      <c r="G61" s="21"/>
    </row>
    <row r="62" spans="2:7" x14ac:dyDescent="0.15">
      <c r="B62" s="19" t="str">
        <f>IF(データ入力!E58="","",データ入力!E58)</f>
        <v/>
      </c>
      <c r="C62" s="19" t="str">
        <f>IF(データ入力!G58="","",データ入力!G58)</f>
        <v/>
      </c>
      <c r="D62" s="20" t="str">
        <f t="shared" si="0"/>
        <v/>
      </c>
      <c r="E62" s="20" t="str">
        <f t="shared" si="1"/>
        <v/>
      </c>
      <c r="F62" s="20" t="str">
        <f t="shared" si="2"/>
        <v/>
      </c>
      <c r="G62" s="21"/>
    </row>
    <row r="63" spans="2:7" x14ac:dyDescent="0.15">
      <c r="B63" s="19" t="str">
        <f>IF(データ入力!E59="","",データ入力!E59)</f>
        <v/>
      </c>
      <c r="C63" s="19" t="str">
        <f>IF(データ入力!G59="","",データ入力!G59)</f>
        <v/>
      </c>
      <c r="D63" s="20" t="str">
        <f t="shared" si="0"/>
        <v/>
      </c>
      <c r="E63" s="20" t="str">
        <f t="shared" si="1"/>
        <v/>
      </c>
      <c r="F63" s="20" t="str">
        <f t="shared" si="2"/>
        <v/>
      </c>
      <c r="G63" s="21"/>
    </row>
    <row r="64" spans="2:7" x14ac:dyDescent="0.15">
      <c r="B64" s="19" t="str">
        <f>IF(データ入力!E60="","",データ入力!E60)</f>
        <v/>
      </c>
      <c r="C64" s="19" t="str">
        <f>IF(データ入力!G60="","",データ入力!G60)</f>
        <v/>
      </c>
      <c r="D64" s="20" t="str">
        <f t="shared" si="0"/>
        <v/>
      </c>
      <c r="E64" s="20" t="str">
        <f t="shared" si="1"/>
        <v/>
      </c>
      <c r="F64" s="20" t="str">
        <f t="shared" si="2"/>
        <v/>
      </c>
      <c r="G64" s="21"/>
    </row>
    <row r="65" spans="2:7" x14ac:dyDescent="0.15">
      <c r="B65" s="19" t="str">
        <f>IF(データ入力!E61="","",データ入力!E61)</f>
        <v/>
      </c>
      <c r="C65" s="19" t="str">
        <f>IF(データ入力!G61="","",データ入力!G61)</f>
        <v/>
      </c>
      <c r="D65" s="20" t="str">
        <f t="shared" si="0"/>
        <v/>
      </c>
      <c r="E65" s="20" t="str">
        <f t="shared" si="1"/>
        <v/>
      </c>
      <c r="F65" s="20" t="str">
        <f t="shared" si="2"/>
        <v/>
      </c>
      <c r="G65" s="21"/>
    </row>
    <row r="66" spans="2:7" x14ac:dyDescent="0.15">
      <c r="B66" s="19" t="str">
        <f>IF(データ入力!E62="","",データ入力!E62)</f>
        <v/>
      </c>
      <c r="C66" s="19" t="str">
        <f>IF(データ入力!G62="","",データ入力!G62)</f>
        <v/>
      </c>
      <c r="D66" s="20" t="str">
        <f t="shared" si="0"/>
        <v/>
      </c>
      <c r="E66" s="20" t="str">
        <f t="shared" si="1"/>
        <v/>
      </c>
      <c r="F66" s="20" t="str">
        <f t="shared" si="2"/>
        <v/>
      </c>
      <c r="G66" s="21"/>
    </row>
    <row r="67" spans="2:7" x14ac:dyDescent="0.15">
      <c r="B67" s="19" t="str">
        <f>IF(データ入力!E63="","",データ入力!E63)</f>
        <v/>
      </c>
      <c r="C67" s="19" t="str">
        <f>IF(データ入力!G63="","",データ入力!G63)</f>
        <v/>
      </c>
      <c r="D67" s="20" t="str">
        <f t="shared" si="0"/>
        <v/>
      </c>
      <c r="E67" s="20" t="str">
        <f t="shared" si="1"/>
        <v/>
      </c>
      <c r="F67" s="20" t="str">
        <f t="shared" si="2"/>
        <v/>
      </c>
      <c r="G67" s="21"/>
    </row>
    <row r="68" spans="2:7" x14ac:dyDescent="0.15">
      <c r="B68" s="19" t="str">
        <f>IF(データ入力!E64="","",データ入力!E64)</f>
        <v/>
      </c>
      <c r="C68" s="19" t="str">
        <f>IF(データ入力!G64="","",データ入力!G64)</f>
        <v/>
      </c>
      <c r="D68" s="20" t="str">
        <f t="shared" si="0"/>
        <v/>
      </c>
      <c r="E68" s="20" t="str">
        <f t="shared" si="1"/>
        <v/>
      </c>
      <c r="F68" s="20" t="str">
        <f t="shared" si="2"/>
        <v/>
      </c>
      <c r="G68" s="21"/>
    </row>
    <row r="69" spans="2:7" x14ac:dyDescent="0.15">
      <c r="B69" s="19" t="str">
        <f>IF(データ入力!E65="","",データ入力!E65)</f>
        <v/>
      </c>
      <c r="C69" s="19" t="str">
        <f>IF(データ入力!G65="","",データ入力!G65)</f>
        <v/>
      </c>
      <c r="D69" s="20" t="str">
        <f t="shared" si="0"/>
        <v/>
      </c>
      <c r="E69" s="20" t="str">
        <f t="shared" si="1"/>
        <v/>
      </c>
      <c r="F69" s="20" t="str">
        <f t="shared" si="2"/>
        <v/>
      </c>
      <c r="G69" s="21"/>
    </row>
    <row r="70" spans="2:7" x14ac:dyDescent="0.15">
      <c r="B70" s="19" t="str">
        <f>IF(データ入力!E66="","",データ入力!E66)</f>
        <v/>
      </c>
      <c r="C70" s="19" t="str">
        <f>IF(データ入力!G66="","",データ入力!G66)</f>
        <v/>
      </c>
      <c r="D70" s="20" t="str">
        <f t="shared" si="0"/>
        <v/>
      </c>
      <c r="E70" s="20" t="str">
        <f t="shared" si="1"/>
        <v/>
      </c>
      <c r="F70" s="20" t="str">
        <f t="shared" si="2"/>
        <v/>
      </c>
      <c r="G70" s="21"/>
    </row>
    <row r="71" spans="2:7" x14ac:dyDescent="0.15">
      <c r="B71" s="19" t="str">
        <f>IF(データ入力!E67="","",データ入力!E67)</f>
        <v/>
      </c>
      <c r="C71" s="19" t="str">
        <f>IF(データ入力!G67="","",データ入力!G67)</f>
        <v/>
      </c>
      <c r="D71" s="20" t="str">
        <f t="shared" si="0"/>
        <v/>
      </c>
      <c r="E71" s="20" t="str">
        <f t="shared" si="1"/>
        <v/>
      </c>
      <c r="F71" s="20" t="str">
        <f t="shared" si="2"/>
        <v/>
      </c>
      <c r="G71" s="21"/>
    </row>
    <row r="72" spans="2:7" x14ac:dyDescent="0.15">
      <c r="B72" s="19" t="str">
        <f>IF(データ入力!E68="","",データ入力!E68)</f>
        <v/>
      </c>
      <c r="C72" s="19" t="str">
        <f>IF(データ入力!G68="","",データ入力!G68)</f>
        <v/>
      </c>
      <c r="D72" s="20" t="str">
        <f t="shared" si="0"/>
        <v/>
      </c>
      <c r="E72" s="20" t="str">
        <f t="shared" si="1"/>
        <v/>
      </c>
      <c r="F72" s="20" t="str">
        <f t="shared" si="2"/>
        <v/>
      </c>
      <c r="G72" s="21"/>
    </row>
    <row r="73" spans="2:7" x14ac:dyDescent="0.15">
      <c r="B73" s="19" t="str">
        <f>IF(データ入力!E69="","",データ入力!E69)</f>
        <v/>
      </c>
      <c r="C73" s="19" t="str">
        <f>IF(データ入力!G69="","",データ入力!G69)</f>
        <v/>
      </c>
      <c r="D73" s="20" t="str">
        <f t="shared" si="0"/>
        <v/>
      </c>
      <c r="E73" s="20" t="str">
        <f t="shared" si="1"/>
        <v/>
      </c>
      <c r="F73" s="20" t="str">
        <f t="shared" si="2"/>
        <v/>
      </c>
      <c r="G73" s="21"/>
    </row>
    <row r="74" spans="2:7" x14ac:dyDescent="0.15">
      <c r="B74" s="19" t="str">
        <f>IF(データ入力!E70="","",データ入力!E70)</f>
        <v/>
      </c>
      <c r="C74" s="19" t="str">
        <f>IF(データ入力!G70="","",データ入力!G70)</f>
        <v/>
      </c>
      <c r="D74" s="20" t="str">
        <f t="shared" si="0"/>
        <v/>
      </c>
      <c r="E74" s="20" t="str">
        <f t="shared" si="1"/>
        <v/>
      </c>
      <c r="F74" s="20" t="str">
        <f t="shared" si="2"/>
        <v/>
      </c>
      <c r="G74" s="21"/>
    </row>
    <row r="75" spans="2:7" x14ac:dyDescent="0.15">
      <c r="B75" s="19" t="str">
        <f>IF(データ入力!E71="","",データ入力!E71)</f>
        <v/>
      </c>
      <c r="C75" s="19" t="str">
        <f>IF(データ入力!G71="","",データ入力!G71)</f>
        <v/>
      </c>
      <c r="D75" s="20" t="str">
        <f t="shared" ref="D75:D109" si="3">IF(B75="","",IF(B75=0,0,$C$4/(1+$C$5*EXP(-$C$6*B75))))</f>
        <v/>
      </c>
      <c r="E75" s="20" t="str">
        <f t="shared" ref="E75:E109" si="4">IF(B75="","",C75-D75)</f>
        <v/>
      </c>
      <c r="F75" s="20" t="str">
        <f t="shared" ref="F75:F109" si="5">IF(B75="","",E75^2)</f>
        <v/>
      </c>
      <c r="G75" s="21"/>
    </row>
    <row r="76" spans="2:7" x14ac:dyDescent="0.15">
      <c r="B76" s="19" t="str">
        <f>IF(データ入力!E72="","",データ入力!E72)</f>
        <v/>
      </c>
      <c r="C76" s="19" t="str">
        <f>IF(データ入力!G72="","",データ入力!G72)</f>
        <v/>
      </c>
      <c r="D76" s="20" t="str">
        <f t="shared" si="3"/>
        <v/>
      </c>
      <c r="E76" s="20" t="str">
        <f t="shared" si="4"/>
        <v/>
      </c>
      <c r="F76" s="20" t="str">
        <f t="shared" si="5"/>
        <v/>
      </c>
      <c r="G76" s="21"/>
    </row>
    <row r="77" spans="2:7" x14ac:dyDescent="0.15">
      <c r="B77" s="19" t="str">
        <f>IF(データ入力!E73="","",データ入力!E73)</f>
        <v/>
      </c>
      <c r="C77" s="19" t="str">
        <f>IF(データ入力!G73="","",データ入力!G73)</f>
        <v/>
      </c>
      <c r="D77" s="20" t="str">
        <f t="shared" si="3"/>
        <v/>
      </c>
      <c r="E77" s="20" t="str">
        <f t="shared" si="4"/>
        <v/>
      </c>
      <c r="F77" s="20" t="str">
        <f t="shared" si="5"/>
        <v/>
      </c>
      <c r="G77" s="21"/>
    </row>
    <row r="78" spans="2:7" x14ac:dyDescent="0.15">
      <c r="B78" s="19" t="str">
        <f>IF(データ入力!E74="","",データ入力!E74)</f>
        <v/>
      </c>
      <c r="C78" s="19" t="str">
        <f>IF(データ入力!G74="","",データ入力!G74)</f>
        <v/>
      </c>
      <c r="D78" s="20" t="str">
        <f t="shared" si="3"/>
        <v/>
      </c>
      <c r="E78" s="20" t="str">
        <f t="shared" si="4"/>
        <v/>
      </c>
      <c r="F78" s="20" t="str">
        <f t="shared" si="5"/>
        <v/>
      </c>
      <c r="G78" s="21"/>
    </row>
    <row r="79" spans="2:7" x14ac:dyDescent="0.15">
      <c r="B79" s="19" t="str">
        <f>IF(データ入力!E75="","",データ入力!E75)</f>
        <v/>
      </c>
      <c r="C79" s="19" t="str">
        <f>IF(データ入力!G75="","",データ入力!G75)</f>
        <v/>
      </c>
      <c r="D79" s="20" t="str">
        <f t="shared" si="3"/>
        <v/>
      </c>
      <c r="E79" s="20" t="str">
        <f t="shared" si="4"/>
        <v/>
      </c>
      <c r="F79" s="20" t="str">
        <f t="shared" si="5"/>
        <v/>
      </c>
      <c r="G79" s="21"/>
    </row>
    <row r="80" spans="2:7" x14ac:dyDescent="0.15">
      <c r="B80" s="19" t="str">
        <f>IF(データ入力!E76="","",データ入力!E76)</f>
        <v/>
      </c>
      <c r="C80" s="19" t="str">
        <f>IF(データ入力!G76="","",データ入力!G76)</f>
        <v/>
      </c>
      <c r="D80" s="20" t="str">
        <f t="shared" si="3"/>
        <v/>
      </c>
      <c r="E80" s="20" t="str">
        <f t="shared" si="4"/>
        <v/>
      </c>
      <c r="F80" s="20" t="str">
        <f t="shared" si="5"/>
        <v/>
      </c>
      <c r="G80" s="21"/>
    </row>
    <row r="81" spans="2:7" x14ac:dyDescent="0.15">
      <c r="B81" s="19" t="str">
        <f>IF(データ入力!E77="","",データ入力!E77)</f>
        <v/>
      </c>
      <c r="C81" s="19" t="str">
        <f>IF(データ入力!G77="","",データ入力!G77)</f>
        <v/>
      </c>
      <c r="D81" s="20" t="str">
        <f t="shared" si="3"/>
        <v/>
      </c>
      <c r="E81" s="20" t="str">
        <f t="shared" si="4"/>
        <v/>
      </c>
      <c r="F81" s="20" t="str">
        <f t="shared" si="5"/>
        <v/>
      </c>
      <c r="G81" s="21"/>
    </row>
    <row r="82" spans="2:7" x14ac:dyDescent="0.15">
      <c r="B82" s="19" t="str">
        <f>IF(データ入力!E78="","",データ入力!E78)</f>
        <v/>
      </c>
      <c r="C82" s="19" t="str">
        <f>IF(データ入力!G78="","",データ入力!G78)</f>
        <v/>
      </c>
      <c r="D82" s="20" t="str">
        <f t="shared" si="3"/>
        <v/>
      </c>
      <c r="E82" s="20" t="str">
        <f t="shared" si="4"/>
        <v/>
      </c>
      <c r="F82" s="20" t="str">
        <f t="shared" si="5"/>
        <v/>
      </c>
      <c r="G82" s="21"/>
    </row>
    <row r="83" spans="2:7" x14ac:dyDescent="0.15">
      <c r="B83" s="19" t="str">
        <f>IF(データ入力!E79="","",データ入力!E79)</f>
        <v/>
      </c>
      <c r="C83" s="19" t="str">
        <f>IF(データ入力!G79="","",データ入力!G79)</f>
        <v/>
      </c>
      <c r="D83" s="20" t="str">
        <f t="shared" si="3"/>
        <v/>
      </c>
      <c r="E83" s="20" t="str">
        <f t="shared" si="4"/>
        <v/>
      </c>
      <c r="F83" s="20" t="str">
        <f t="shared" si="5"/>
        <v/>
      </c>
      <c r="G83" s="21"/>
    </row>
    <row r="84" spans="2:7" x14ac:dyDescent="0.15">
      <c r="B84" s="19" t="str">
        <f>IF(データ入力!E80="","",データ入力!E80)</f>
        <v/>
      </c>
      <c r="C84" s="19" t="str">
        <f>IF(データ入力!G80="","",データ入力!G80)</f>
        <v/>
      </c>
      <c r="D84" s="20" t="str">
        <f t="shared" si="3"/>
        <v/>
      </c>
      <c r="E84" s="20" t="str">
        <f t="shared" si="4"/>
        <v/>
      </c>
      <c r="F84" s="20" t="str">
        <f t="shared" si="5"/>
        <v/>
      </c>
      <c r="G84" s="21"/>
    </row>
    <row r="85" spans="2:7" x14ac:dyDescent="0.15">
      <c r="B85" s="19" t="str">
        <f>IF(データ入力!E81="","",データ入力!E81)</f>
        <v/>
      </c>
      <c r="C85" s="19" t="str">
        <f>IF(データ入力!G81="","",データ入力!G81)</f>
        <v/>
      </c>
      <c r="D85" s="20" t="str">
        <f t="shared" si="3"/>
        <v/>
      </c>
      <c r="E85" s="20" t="str">
        <f t="shared" si="4"/>
        <v/>
      </c>
      <c r="F85" s="20" t="str">
        <f t="shared" si="5"/>
        <v/>
      </c>
      <c r="G85" s="21"/>
    </row>
    <row r="86" spans="2:7" x14ac:dyDescent="0.15">
      <c r="B86" s="19" t="str">
        <f>IF(データ入力!E82="","",データ入力!E82)</f>
        <v/>
      </c>
      <c r="C86" s="19" t="str">
        <f>IF(データ入力!G82="","",データ入力!G82)</f>
        <v/>
      </c>
      <c r="D86" s="20" t="str">
        <f t="shared" si="3"/>
        <v/>
      </c>
      <c r="E86" s="20" t="str">
        <f t="shared" si="4"/>
        <v/>
      </c>
      <c r="F86" s="20" t="str">
        <f t="shared" si="5"/>
        <v/>
      </c>
      <c r="G86" s="21"/>
    </row>
    <row r="87" spans="2:7" x14ac:dyDescent="0.15">
      <c r="B87" s="19" t="str">
        <f>IF(データ入力!E83="","",データ入力!E83)</f>
        <v/>
      </c>
      <c r="C87" s="19" t="str">
        <f>IF(データ入力!G83="","",データ入力!G83)</f>
        <v/>
      </c>
      <c r="D87" s="20" t="str">
        <f t="shared" si="3"/>
        <v/>
      </c>
      <c r="E87" s="20" t="str">
        <f t="shared" si="4"/>
        <v/>
      </c>
      <c r="F87" s="20" t="str">
        <f t="shared" si="5"/>
        <v/>
      </c>
      <c r="G87" s="21"/>
    </row>
    <row r="88" spans="2:7" x14ac:dyDescent="0.15">
      <c r="B88" s="19" t="str">
        <f>IF(データ入力!E84="","",データ入力!E84)</f>
        <v/>
      </c>
      <c r="C88" s="19" t="str">
        <f>IF(データ入力!G84="","",データ入力!G84)</f>
        <v/>
      </c>
      <c r="D88" s="20" t="str">
        <f t="shared" si="3"/>
        <v/>
      </c>
      <c r="E88" s="20" t="str">
        <f t="shared" si="4"/>
        <v/>
      </c>
      <c r="F88" s="20" t="str">
        <f t="shared" si="5"/>
        <v/>
      </c>
      <c r="G88" s="21"/>
    </row>
    <row r="89" spans="2:7" x14ac:dyDescent="0.15">
      <c r="B89" s="19" t="str">
        <f>IF(データ入力!E85="","",データ入力!E85)</f>
        <v/>
      </c>
      <c r="C89" s="19" t="str">
        <f>IF(データ入力!G85="","",データ入力!G85)</f>
        <v/>
      </c>
      <c r="D89" s="20" t="str">
        <f t="shared" si="3"/>
        <v/>
      </c>
      <c r="E89" s="20" t="str">
        <f t="shared" si="4"/>
        <v/>
      </c>
      <c r="F89" s="20" t="str">
        <f t="shared" si="5"/>
        <v/>
      </c>
      <c r="G89" s="21"/>
    </row>
    <row r="90" spans="2:7" x14ac:dyDescent="0.15">
      <c r="B90" s="19" t="str">
        <f>IF(データ入力!E86="","",データ入力!E86)</f>
        <v/>
      </c>
      <c r="C90" s="19" t="str">
        <f>IF(データ入力!G86="","",データ入力!G86)</f>
        <v/>
      </c>
      <c r="D90" s="20" t="str">
        <f t="shared" si="3"/>
        <v/>
      </c>
      <c r="E90" s="20" t="str">
        <f t="shared" si="4"/>
        <v/>
      </c>
      <c r="F90" s="20" t="str">
        <f t="shared" si="5"/>
        <v/>
      </c>
      <c r="G90" s="21"/>
    </row>
    <row r="91" spans="2:7" x14ac:dyDescent="0.15">
      <c r="B91" s="19" t="str">
        <f>IF(データ入力!E87="","",データ入力!E87)</f>
        <v/>
      </c>
      <c r="C91" s="19" t="str">
        <f>IF(データ入力!G87="","",データ入力!G87)</f>
        <v/>
      </c>
      <c r="D91" s="20" t="str">
        <f t="shared" si="3"/>
        <v/>
      </c>
      <c r="E91" s="20" t="str">
        <f t="shared" si="4"/>
        <v/>
      </c>
      <c r="F91" s="20" t="str">
        <f t="shared" si="5"/>
        <v/>
      </c>
      <c r="G91" s="21"/>
    </row>
    <row r="92" spans="2:7" x14ac:dyDescent="0.15">
      <c r="B92" s="19" t="str">
        <f>IF(データ入力!E88="","",データ入力!E88)</f>
        <v/>
      </c>
      <c r="C92" s="19" t="str">
        <f>IF(データ入力!G88="","",データ入力!G88)</f>
        <v/>
      </c>
      <c r="D92" s="20" t="str">
        <f t="shared" si="3"/>
        <v/>
      </c>
      <c r="E92" s="20" t="str">
        <f t="shared" si="4"/>
        <v/>
      </c>
      <c r="F92" s="20" t="str">
        <f t="shared" si="5"/>
        <v/>
      </c>
      <c r="G92" s="21"/>
    </row>
    <row r="93" spans="2:7" x14ac:dyDescent="0.15">
      <c r="B93" s="19" t="str">
        <f>IF(データ入力!E89="","",データ入力!E89)</f>
        <v/>
      </c>
      <c r="C93" s="19" t="str">
        <f>IF(データ入力!G89="","",データ入力!G89)</f>
        <v/>
      </c>
      <c r="D93" s="20" t="str">
        <f t="shared" si="3"/>
        <v/>
      </c>
      <c r="E93" s="20" t="str">
        <f t="shared" si="4"/>
        <v/>
      </c>
      <c r="F93" s="20" t="str">
        <f t="shared" si="5"/>
        <v/>
      </c>
      <c r="G93" s="21"/>
    </row>
    <row r="94" spans="2:7" x14ac:dyDescent="0.15">
      <c r="B94" s="19" t="str">
        <f>IF(データ入力!E90="","",データ入力!E90)</f>
        <v/>
      </c>
      <c r="C94" s="19" t="str">
        <f>IF(データ入力!G90="","",データ入力!G90)</f>
        <v/>
      </c>
      <c r="D94" s="20" t="str">
        <f t="shared" si="3"/>
        <v/>
      </c>
      <c r="E94" s="20" t="str">
        <f t="shared" si="4"/>
        <v/>
      </c>
      <c r="F94" s="20" t="str">
        <f t="shared" si="5"/>
        <v/>
      </c>
      <c r="G94" s="21"/>
    </row>
    <row r="95" spans="2:7" x14ac:dyDescent="0.15">
      <c r="B95" s="19" t="str">
        <f>IF(データ入力!E91="","",データ入力!E91)</f>
        <v/>
      </c>
      <c r="C95" s="19" t="str">
        <f>IF(データ入力!G91="","",データ入力!G91)</f>
        <v/>
      </c>
      <c r="D95" s="20" t="str">
        <f t="shared" si="3"/>
        <v/>
      </c>
      <c r="E95" s="20" t="str">
        <f t="shared" si="4"/>
        <v/>
      </c>
      <c r="F95" s="20" t="str">
        <f t="shared" si="5"/>
        <v/>
      </c>
      <c r="G95" s="21"/>
    </row>
    <row r="96" spans="2:7" x14ac:dyDescent="0.15">
      <c r="B96" s="19" t="str">
        <f>IF(データ入力!E92="","",データ入力!E92)</f>
        <v/>
      </c>
      <c r="C96" s="19" t="str">
        <f>IF(データ入力!G92="","",データ入力!G92)</f>
        <v/>
      </c>
      <c r="D96" s="20" t="str">
        <f t="shared" si="3"/>
        <v/>
      </c>
      <c r="E96" s="20" t="str">
        <f t="shared" si="4"/>
        <v/>
      </c>
      <c r="F96" s="20" t="str">
        <f t="shared" si="5"/>
        <v/>
      </c>
      <c r="G96" s="21"/>
    </row>
    <row r="97" spans="2:7" x14ac:dyDescent="0.15">
      <c r="B97" s="19" t="str">
        <f>IF(データ入力!E93="","",データ入力!E93)</f>
        <v/>
      </c>
      <c r="C97" s="19" t="str">
        <f>IF(データ入力!G93="","",データ入力!G93)</f>
        <v/>
      </c>
      <c r="D97" s="20" t="str">
        <f t="shared" si="3"/>
        <v/>
      </c>
      <c r="E97" s="20" t="str">
        <f t="shared" si="4"/>
        <v/>
      </c>
      <c r="F97" s="20" t="str">
        <f t="shared" si="5"/>
        <v/>
      </c>
      <c r="G97" s="21"/>
    </row>
    <row r="98" spans="2:7" x14ac:dyDescent="0.15">
      <c r="B98" s="19" t="str">
        <f>IF(データ入力!E94="","",データ入力!E94)</f>
        <v/>
      </c>
      <c r="C98" s="19" t="str">
        <f>IF(データ入力!G94="","",データ入力!G94)</f>
        <v/>
      </c>
      <c r="D98" s="20" t="str">
        <f t="shared" si="3"/>
        <v/>
      </c>
      <c r="E98" s="20" t="str">
        <f t="shared" si="4"/>
        <v/>
      </c>
      <c r="F98" s="20" t="str">
        <f t="shared" si="5"/>
        <v/>
      </c>
      <c r="G98" s="21"/>
    </row>
    <row r="99" spans="2:7" x14ac:dyDescent="0.15">
      <c r="B99" s="19" t="str">
        <f>IF(データ入力!E95="","",データ入力!E95)</f>
        <v/>
      </c>
      <c r="C99" s="19" t="str">
        <f>IF(データ入力!G95="","",データ入力!G95)</f>
        <v/>
      </c>
      <c r="D99" s="20" t="str">
        <f t="shared" si="3"/>
        <v/>
      </c>
      <c r="E99" s="20" t="str">
        <f t="shared" si="4"/>
        <v/>
      </c>
      <c r="F99" s="20" t="str">
        <f t="shared" si="5"/>
        <v/>
      </c>
      <c r="G99" s="21"/>
    </row>
    <row r="100" spans="2:7" x14ac:dyDescent="0.15">
      <c r="B100" s="19" t="str">
        <f>IF(データ入力!E96="","",データ入力!E96)</f>
        <v/>
      </c>
      <c r="C100" s="19" t="str">
        <f>IF(データ入力!G96="","",データ入力!G96)</f>
        <v/>
      </c>
      <c r="D100" s="20" t="str">
        <f t="shared" si="3"/>
        <v/>
      </c>
      <c r="E100" s="20" t="str">
        <f t="shared" si="4"/>
        <v/>
      </c>
      <c r="F100" s="20" t="str">
        <f t="shared" si="5"/>
        <v/>
      </c>
      <c r="G100" s="21"/>
    </row>
    <row r="101" spans="2:7" x14ac:dyDescent="0.15">
      <c r="B101" s="19" t="str">
        <f>IF(データ入力!E97="","",データ入力!E97)</f>
        <v/>
      </c>
      <c r="C101" s="19" t="str">
        <f>IF(データ入力!G97="","",データ入力!G97)</f>
        <v/>
      </c>
      <c r="D101" s="20" t="str">
        <f t="shared" si="3"/>
        <v/>
      </c>
      <c r="E101" s="20" t="str">
        <f t="shared" si="4"/>
        <v/>
      </c>
      <c r="F101" s="20" t="str">
        <f t="shared" si="5"/>
        <v/>
      </c>
      <c r="G101" s="21"/>
    </row>
    <row r="102" spans="2:7" x14ac:dyDescent="0.15">
      <c r="B102" s="19" t="str">
        <f>IF(データ入力!E98="","",データ入力!E98)</f>
        <v/>
      </c>
      <c r="C102" s="19" t="str">
        <f>IF(データ入力!G98="","",データ入力!G98)</f>
        <v/>
      </c>
      <c r="D102" s="20" t="str">
        <f t="shared" si="3"/>
        <v/>
      </c>
      <c r="E102" s="20" t="str">
        <f t="shared" si="4"/>
        <v/>
      </c>
      <c r="F102" s="20" t="str">
        <f t="shared" si="5"/>
        <v/>
      </c>
      <c r="G102" s="21"/>
    </row>
    <row r="103" spans="2:7" x14ac:dyDescent="0.15">
      <c r="B103" s="19" t="str">
        <f>IF(データ入力!E99="","",データ入力!E99)</f>
        <v/>
      </c>
      <c r="C103" s="19" t="str">
        <f>IF(データ入力!G99="","",データ入力!G99)</f>
        <v/>
      </c>
      <c r="D103" s="20" t="str">
        <f t="shared" si="3"/>
        <v/>
      </c>
      <c r="E103" s="20" t="str">
        <f t="shared" si="4"/>
        <v/>
      </c>
      <c r="F103" s="20" t="str">
        <f t="shared" si="5"/>
        <v/>
      </c>
      <c r="G103" s="21"/>
    </row>
    <row r="104" spans="2:7" x14ac:dyDescent="0.15">
      <c r="B104" s="19" t="str">
        <f>IF(データ入力!E100="","",データ入力!E100)</f>
        <v/>
      </c>
      <c r="C104" s="19" t="str">
        <f>IF(データ入力!G100="","",データ入力!G100)</f>
        <v/>
      </c>
      <c r="D104" s="20" t="str">
        <f t="shared" si="3"/>
        <v/>
      </c>
      <c r="E104" s="20" t="str">
        <f t="shared" si="4"/>
        <v/>
      </c>
      <c r="F104" s="20" t="str">
        <f t="shared" si="5"/>
        <v/>
      </c>
      <c r="G104" s="21"/>
    </row>
    <row r="105" spans="2:7" x14ac:dyDescent="0.15">
      <c r="B105" s="19" t="str">
        <f>IF(データ入力!E101="","",データ入力!E101)</f>
        <v/>
      </c>
      <c r="C105" s="19" t="str">
        <f>IF(データ入力!G101="","",データ入力!G101)</f>
        <v/>
      </c>
      <c r="D105" s="20" t="str">
        <f t="shared" si="3"/>
        <v/>
      </c>
      <c r="E105" s="20" t="str">
        <f t="shared" si="4"/>
        <v/>
      </c>
      <c r="F105" s="20" t="str">
        <f t="shared" si="5"/>
        <v/>
      </c>
      <c r="G105" s="21"/>
    </row>
    <row r="106" spans="2:7" x14ac:dyDescent="0.15">
      <c r="B106" s="19" t="str">
        <f>IF(データ入力!E102="","",データ入力!E102)</f>
        <v/>
      </c>
      <c r="C106" s="19" t="str">
        <f>IF(データ入力!G102="","",データ入力!G102)</f>
        <v/>
      </c>
      <c r="D106" s="20" t="str">
        <f t="shared" si="3"/>
        <v/>
      </c>
      <c r="E106" s="20" t="str">
        <f t="shared" si="4"/>
        <v/>
      </c>
      <c r="F106" s="20" t="str">
        <f t="shared" si="5"/>
        <v/>
      </c>
      <c r="G106" s="21"/>
    </row>
    <row r="107" spans="2:7" x14ac:dyDescent="0.15">
      <c r="B107" s="19" t="str">
        <f>IF(データ入力!E103="","",データ入力!E103)</f>
        <v/>
      </c>
      <c r="C107" s="19" t="str">
        <f>IF(データ入力!G103="","",データ入力!G103)</f>
        <v/>
      </c>
      <c r="D107" s="20" t="str">
        <f t="shared" si="3"/>
        <v/>
      </c>
      <c r="E107" s="20" t="str">
        <f t="shared" si="4"/>
        <v/>
      </c>
      <c r="F107" s="20" t="str">
        <f t="shared" si="5"/>
        <v/>
      </c>
      <c r="G107" s="21"/>
    </row>
    <row r="108" spans="2:7" x14ac:dyDescent="0.15">
      <c r="B108" s="19" t="str">
        <f>IF(データ入力!E104="","",データ入力!E104)</f>
        <v/>
      </c>
      <c r="C108" s="19" t="str">
        <f>IF(データ入力!G104="","",データ入力!G104)</f>
        <v/>
      </c>
      <c r="D108" s="20" t="str">
        <f t="shared" si="3"/>
        <v/>
      </c>
      <c r="E108" s="20" t="str">
        <f t="shared" si="4"/>
        <v/>
      </c>
      <c r="F108" s="20" t="str">
        <f t="shared" si="5"/>
        <v/>
      </c>
      <c r="G108" s="21"/>
    </row>
    <row r="109" spans="2:7" x14ac:dyDescent="0.15">
      <c r="B109" s="19" t="str">
        <f>IF(データ入力!E105="","",データ入力!E105)</f>
        <v/>
      </c>
      <c r="C109" s="19" t="str">
        <f>IF(データ入力!G105="","",データ入力!G105)</f>
        <v/>
      </c>
      <c r="D109" s="20" t="str">
        <f t="shared" si="3"/>
        <v/>
      </c>
      <c r="E109" s="20" t="str">
        <f t="shared" si="4"/>
        <v/>
      </c>
      <c r="F109" s="20" t="str">
        <f t="shared" si="5"/>
        <v/>
      </c>
      <c r="G109" s="21"/>
    </row>
  </sheetData>
  <scenarios current="0">
    <scenario name="srgm_test" count="3" user="Tomi" comment="作成者 : Tomi 日付 : 8/19/2010">
      <inputCells r="C4" val="85.2303964347601"/>
      <inputCells r="C5" val="12.4553706530314"/>
      <inputCells r="C6" val="0.986959959300145"/>
    </scenario>
  </scenarios>
  <mergeCells count="2">
    <mergeCell ref="E4:F4"/>
    <mergeCell ref="E5:F5"/>
  </mergeCells>
  <phoneticPr fontId="2"/>
  <pageMargins left="0.75" right="0.75" top="1" bottom="1"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2050" r:id="rId4" name="CommandButton1">
          <controlPr defaultSize="0" autoLine="0" r:id="rId5">
            <anchor moveWithCells="1">
              <from>
                <xdr:col>6</xdr:col>
                <xdr:colOff>114300</xdr:colOff>
                <xdr:row>5</xdr:row>
                <xdr:rowOff>57150</xdr:rowOff>
              </from>
              <to>
                <xdr:col>6</xdr:col>
                <xdr:colOff>885825</xdr:colOff>
                <xdr:row>6</xdr:row>
                <xdr:rowOff>142875</xdr:rowOff>
              </to>
            </anchor>
          </controlPr>
        </control>
      </mc:Choice>
      <mc:Fallback>
        <control shapeId="2050"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1:Q109"/>
  <sheetViews>
    <sheetView zoomScaleNormal="100" workbookViewId="0"/>
  </sheetViews>
  <sheetFormatPr defaultRowHeight="13.5" x14ac:dyDescent="0.15"/>
  <cols>
    <col min="1" max="1" width="2.625" style="1" customWidth="1"/>
    <col min="2" max="7" width="13.25" style="1" customWidth="1"/>
    <col min="8" max="9" width="9.5" style="1" customWidth="1"/>
    <col min="10" max="10" width="3.375" style="1" customWidth="1"/>
    <col min="11" max="12" width="9.5" style="1" customWidth="1"/>
    <col min="13" max="14" width="9" style="1"/>
    <col min="15" max="15" width="9" style="1" customWidth="1"/>
    <col min="16" max="16384" width="9" style="1"/>
  </cols>
  <sheetData>
    <row r="1" spans="2:17" x14ac:dyDescent="0.15">
      <c r="E1" s="1" t="s">
        <v>38</v>
      </c>
    </row>
    <row r="2" spans="2:17" x14ac:dyDescent="0.15">
      <c r="B2" s="1" t="s">
        <v>0</v>
      </c>
      <c r="C2" s="1" t="s">
        <v>86</v>
      </c>
      <c r="E2" s="2" t="s">
        <v>29</v>
      </c>
      <c r="F2" s="3">
        <f>MAX(D10:D109)/C4*100</f>
        <v>88.150698718039123</v>
      </c>
      <c r="Q2"/>
    </row>
    <row r="3" spans="2:17" x14ac:dyDescent="0.15">
      <c r="B3" s="1" t="s">
        <v>61</v>
      </c>
      <c r="C3" s="1">
        <v>2</v>
      </c>
      <c r="E3" s="4" t="s">
        <v>39</v>
      </c>
      <c r="F3" s="3">
        <f>C4-MAX(D10:D109)</f>
        <v>20.911473205534946</v>
      </c>
      <c r="H3" s="1" t="s">
        <v>7</v>
      </c>
      <c r="J3" s="5"/>
      <c r="K3" s="1" t="s">
        <v>8</v>
      </c>
      <c r="N3" s="5" t="s">
        <v>64</v>
      </c>
      <c r="O3" s="5"/>
    </row>
    <row r="4" spans="2:17" ht="14.25" thickBot="1" x14ac:dyDescent="0.2">
      <c r="B4" s="6" t="s">
        <v>11</v>
      </c>
      <c r="C4" s="3">
        <v>176.47853411719831</v>
      </c>
      <c r="E4" s="61" t="s">
        <v>6</v>
      </c>
      <c r="F4" s="62"/>
      <c r="H4" s="7">
        <v>0.95</v>
      </c>
      <c r="I4" s="8" t="s">
        <v>9</v>
      </c>
      <c r="J4" s="5"/>
      <c r="K4" s="9">
        <v>0.99</v>
      </c>
      <c r="L4" s="10" t="s">
        <v>9</v>
      </c>
      <c r="N4" s="15" t="s">
        <v>25</v>
      </c>
      <c r="O4" s="31">
        <f>C7*LN((2*3.14*E5/C7)+1)+2*(C3+1)</f>
        <v>56.168005359211477</v>
      </c>
    </row>
    <row r="5" spans="2:17" x14ac:dyDescent="0.15">
      <c r="B5" s="6" t="s">
        <v>12</v>
      </c>
      <c r="C5" s="3">
        <v>4.3528597626387229E-2</v>
      </c>
      <c r="E5" s="63">
        <f>SUM(F10:F109)</f>
        <v>672.61971205660257</v>
      </c>
      <c r="F5" s="64"/>
      <c r="H5" s="11">
        <f>C4*0.95</f>
        <v>167.65460741133839</v>
      </c>
      <c r="I5" s="22">
        <f>LN($C$4/($C$4-H5))/$C$5</f>
        <v>68.822163747769451</v>
      </c>
      <c r="J5" s="5"/>
      <c r="K5" s="12">
        <f>C4*0.99</f>
        <v>174.71374877602634</v>
      </c>
      <c r="L5" s="22">
        <f>LN($C$4/($C$4-K5))/$C$5</f>
        <v>105.79642894804455</v>
      </c>
    </row>
    <row r="6" spans="2:17" x14ac:dyDescent="0.15">
      <c r="B6" s="13"/>
      <c r="C6" s="13"/>
      <c r="E6" s="1" t="s">
        <v>10</v>
      </c>
      <c r="H6" s="1" t="s">
        <v>10</v>
      </c>
      <c r="J6" s="5"/>
      <c r="K6" s="1" t="s">
        <v>10</v>
      </c>
    </row>
    <row r="7" spans="2:17" x14ac:dyDescent="0.15">
      <c r="B7" s="14" t="s">
        <v>30</v>
      </c>
      <c r="C7" s="29">
        <f>COUNT(C10:C109)</f>
        <v>8</v>
      </c>
    </row>
    <row r="8" spans="2:17" x14ac:dyDescent="0.15">
      <c r="B8" s="15" t="s">
        <v>1</v>
      </c>
    </row>
    <row r="9" spans="2:17" ht="27.75" thickBot="1" x14ac:dyDescent="0.2">
      <c r="B9" s="16" t="s">
        <v>45</v>
      </c>
      <c r="C9" s="17" t="s">
        <v>3</v>
      </c>
      <c r="D9" s="17" t="s">
        <v>34</v>
      </c>
      <c r="E9" s="17" t="s">
        <v>4</v>
      </c>
      <c r="F9" s="17" t="s">
        <v>5</v>
      </c>
      <c r="G9" s="18"/>
    </row>
    <row r="10" spans="2:17" x14ac:dyDescent="0.15">
      <c r="B10" s="19">
        <f>IF(データ入力!E6="","",データ入力!E6)</f>
        <v>0</v>
      </c>
      <c r="C10" s="19">
        <f>IF(データ入力!G6="","",データ入力!G6)</f>
        <v>1</v>
      </c>
      <c r="D10" s="20">
        <f>IF(B10="","",IF(B10=0,0,$C$4*(1-EXP(-$C$5*B10))))</f>
        <v>0</v>
      </c>
      <c r="E10" s="20">
        <f>IF(B10="","",C10-D10)</f>
        <v>1</v>
      </c>
      <c r="F10" s="20">
        <f>IF(B10="","",E10^2)</f>
        <v>1</v>
      </c>
      <c r="G10" s="21"/>
    </row>
    <row r="11" spans="2:17" x14ac:dyDescent="0.15">
      <c r="B11" s="19">
        <f>IF(データ入力!E7="","",データ入力!E7)</f>
        <v>7</v>
      </c>
      <c r="C11" s="19">
        <f>IF(データ入力!G7="","",データ入力!G7)</f>
        <v>67</v>
      </c>
      <c r="D11" s="20">
        <f t="shared" ref="D11:D74" si="0">IF(B11="","",IF(B11=0,0,$C$4*(1-EXP(-$C$5*B11))))</f>
        <v>46.353073613814558</v>
      </c>
      <c r="E11" s="20">
        <f t="shared" ref="E11:E17" si="1">IF(B11="","",C11-D11)</f>
        <v>20.646926386185442</v>
      </c>
      <c r="F11" s="20">
        <f t="shared" ref="F11:F17" si="2">IF(B11="","",E11^2)</f>
        <v>426.29556919656062</v>
      </c>
      <c r="G11" s="21"/>
    </row>
    <row r="12" spans="2:17" x14ac:dyDescent="0.15">
      <c r="B12" s="19">
        <f>IF(データ入力!E8="","",データ入力!E8)</f>
        <v>14</v>
      </c>
      <c r="C12" s="19">
        <f>IF(データ入力!G8="","",データ入力!G8)</f>
        <v>81</v>
      </c>
      <c r="D12" s="20">
        <f t="shared" si="0"/>
        <v>80.531253299618385</v>
      </c>
      <c r="E12" s="20">
        <f t="shared" si="1"/>
        <v>0.46874670038161526</v>
      </c>
      <c r="F12" s="20">
        <f>IF(B12="","",E12^2)</f>
        <v>0.21972346911865179</v>
      </c>
      <c r="G12" s="21"/>
    </row>
    <row r="13" spans="2:17" x14ac:dyDescent="0.15">
      <c r="B13" s="19">
        <f>IF(データ入力!E9="","",データ入力!E9)</f>
        <v>21</v>
      </c>
      <c r="C13" s="19">
        <f>IF(データ入力!G9="","",データ入力!G9)</f>
        <v>99</v>
      </c>
      <c r="D13" s="20">
        <f t="shared" si="0"/>
        <v>105.73234301305114</v>
      </c>
      <c r="E13" s="20">
        <f t="shared" si="1"/>
        <v>-6.7323430130511355</v>
      </c>
      <c r="F13" s="20">
        <f t="shared" si="2"/>
        <v>45.324442445378445</v>
      </c>
      <c r="G13" s="21"/>
    </row>
    <row r="14" spans="2:17" x14ac:dyDescent="0.15">
      <c r="B14" s="19">
        <f>IF(データ入力!E10="","",データ入力!E10)</f>
        <v>28</v>
      </c>
      <c r="C14" s="19">
        <f>IF(データ入力!G10="","",データ入力!G10)</f>
        <v>117</v>
      </c>
      <c r="D14" s="20">
        <f t="shared" si="0"/>
        <v>124.31422562303338</v>
      </c>
      <c r="E14" s="20">
        <f t="shared" si="1"/>
        <v>-7.31422562303338</v>
      </c>
      <c r="F14" s="20">
        <f t="shared" si="2"/>
        <v>53.497896464638032</v>
      </c>
      <c r="G14" s="21"/>
    </row>
    <row r="15" spans="2:17" x14ac:dyDescent="0.15">
      <c r="B15" s="19">
        <f>IF(データ入力!E11="","",データ入力!E11)</f>
        <v>35</v>
      </c>
      <c r="C15" s="19">
        <f>IF(データ入力!G11="","",データ入力!G11)</f>
        <v>132</v>
      </c>
      <c r="D15" s="20">
        <f t="shared" si="0"/>
        <v>138.01547288088966</v>
      </c>
      <c r="E15" s="20">
        <f t="shared" si="1"/>
        <v>-6.0154728808896607</v>
      </c>
      <c r="F15" s="20">
        <f t="shared" si="2"/>
        <v>36.185913980718951</v>
      </c>
      <c r="G15" s="21"/>
    </row>
    <row r="16" spans="2:17" x14ac:dyDescent="0.15">
      <c r="B16" s="19">
        <f>IF(データ入力!E12="","",データ入力!E12)</f>
        <v>42</v>
      </c>
      <c r="C16" s="19">
        <f>IF(データ入力!G12="","",データ入力!G12)</f>
        <v>147</v>
      </c>
      <c r="D16" s="20">
        <f t="shared" si="0"/>
        <v>148.11801094773054</v>
      </c>
      <c r="E16" s="20">
        <f t="shared" si="1"/>
        <v>-1.1180109477305393</v>
      </c>
      <c r="F16" s="20">
        <f t="shared" si="2"/>
        <v>1.2499484792453388</v>
      </c>
      <c r="G16" s="21"/>
    </row>
    <row r="17" spans="2:7" x14ac:dyDescent="0.15">
      <c r="B17" s="19">
        <f>IF(データ入力!E13="","",データ入力!E13)</f>
        <v>49</v>
      </c>
      <c r="C17" s="19">
        <f>IF(データ入力!G13="","",データ入力!G13)</f>
        <v>166</v>
      </c>
      <c r="D17" s="20">
        <f t="shared" si="0"/>
        <v>155.56706091166336</v>
      </c>
      <c r="E17" s="20">
        <f t="shared" si="1"/>
        <v>10.432939088336639</v>
      </c>
      <c r="F17" s="20">
        <f t="shared" si="2"/>
        <v>108.84621802094253</v>
      </c>
      <c r="G17" s="21"/>
    </row>
    <row r="18" spans="2:7" x14ac:dyDescent="0.15">
      <c r="B18" s="19" t="str">
        <f>IF(データ入力!E14="","",データ入力!E14)</f>
        <v/>
      </c>
      <c r="C18" s="19" t="str">
        <f>IF(データ入力!G14="","",データ入力!G14)</f>
        <v/>
      </c>
      <c r="D18" s="20" t="str">
        <f t="shared" si="0"/>
        <v/>
      </c>
      <c r="E18" s="20" t="str">
        <f t="shared" ref="E18:E81" si="3">IF(B18="","",C18-D18)</f>
        <v/>
      </c>
      <c r="F18" s="20" t="str">
        <f t="shared" ref="F18:F81" si="4">IF(B18="","",E18^2)</f>
        <v/>
      </c>
      <c r="G18" s="21"/>
    </row>
    <row r="19" spans="2:7" x14ac:dyDescent="0.15">
      <c r="B19" s="19" t="str">
        <f>IF(データ入力!E15="","",データ入力!E15)</f>
        <v/>
      </c>
      <c r="C19" s="19" t="str">
        <f>IF(データ入力!G15="","",データ入力!G15)</f>
        <v/>
      </c>
      <c r="D19" s="20" t="str">
        <f t="shared" si="0"/>
        <v/>
      </c>
      <c r="E19" s="20" t="str">
        <f t="shared" si="3"/>
        <v/>
      </c>
      <c r="F19" s="20" t="str">
        <f t="shared" si="4"/>
        <v/>
      </c>
      <c r="G19" s="21"/>
    </row>
    <row r="20" spans="2:7" x14ac:dyDescent="0.15">
      <c r="B20" s="19" t="str">
        <f>IF(データ入力!E16="","",データ入力!E16)</f>
        <v/>
      </c>
      <c r="C20" s="19" t="str">
        <f>IF(データ入力!G16="","",データ入力!G16)</f>
        <v/>
      </c>
      <c r="D20" s="20" t="str">
        <f t="shared" si="0"/>
        <v/>
      </c>
      <c r="E20" s="20" t="str">
        <f t="shared" si="3"/>
        <v/>
      </c>
      <c r="F20" s="20" t="str">
        <f t="shared" si="4"/>
        <v/>
      </c>
      <c r="G20" s="21"/>
    </row>
    <row r="21" spans="2:7" x14ac:dyDescent="0.15">
      <c r="B21" s="19" t="str">
        <f>IF(データ入力!E17="","",データ入力!E17)</f>
        <v/>
      </c>
      <c r="C21" s="19" t="str">
        <f>IF(データ入力!G17="","",データ入力!G17)</f>
        <v/>
      </c>
      <c r="D21" s="20" t="str">
        <f t="shared" si="0"/>
        <v/>
      </c>
      <c r="E21" s="20" t="str">
        <f t="shared" si="3"/>
        <v/>
      </c>
      <c r="F21" s="20" t="str">
        <f t="shared" si="4"/>
        <v/>
      </c>
      <c r="G21" s="21"/>
    </row>
    <row r="22" spans="2:7" x14ac:dyDescent="0.15">
      <c r="B22" s="19" t="str">
        <f>IF(データ入力!E18="","",データ入力!E18)</f>
        <v/>
      </c>
      <c r="C22" s="19" t="str">
        <f>IF(データ入力!G18="","",データ入力!G18)</f>
        <v/>
      </c>
      <c r="D22" s="20" t="str">
        <f t="shared" si="0"/>
        <v/>
      </c>
      <c r="E22" s="20" t="str">
        <f t="shared" si="3"/>
        <v/>
      </c>
      <c r="F22" s="20" t="str">
        <f t="shared" si="4"/>
        <v/>
      </c>
      <c r="G22" s="21"/>
    </row>
    <row r="23" spans="2:7" x14ac:dyDescent="0.15">
      <c r="B23" s="19" t="str">
        <f>IF(データ入力!E19="","",データ入力!E19)</f>
        <v/>
      </c>
      <c r="C23" s="19" t="str">
        <f>IF(データ入力!G19="","",データ入力!G19)</f>
        <v/>
      </c>
      <c r="D23" s="20" t="str">
        <f t="shared" si="0"/>
        <v/>
      </c>
      <c r="E23" s="20" t="str">
        <f t="shared" si="3"/>
        <v/>
      </c>
      <c r="F23" s="20" t="str">
        <f t="shared" si="4"/>
        <v/>
      </c>
      <c r="G23" s="21"/>
    </row>
    <row r="24" spans="2:7" x14ac:dyDescent="0.15">
      <c r="B24" s="19" t="str">
        <f>IF(データ入力!E20="","",データ入力!E20)</f>
        <v/>
      </c>
      <c r="C24" s="19" t="str">
        <f>IF(データ入力!G20="","",データ入力!G20)</f>
        <v/>
      </c>
      <c r="D24" s="20" t="str">
        <f t="shared" si="0"/>
        <v/>
      </c>
      <c r="E24" s="20" t="str">
        <f t="shared" si="3"/>
        <v/>
      </c>
      <c r="F24" s="20" t="str">
        <f t="shared" si="4"/>
        <v/>
      </c>
      <c r="G24" s="21"/>
    </row>
    <row r="25" spans="2:7" x14ac:dyDescent="0.15">
      <c r="B25" s="19" t="str">
        <f>IF(データ入力!E21="","",データ入力!E21)</f>
        <v/>
      </c>
      <c r="C25" s="19" t="str">
        <f>IF(データ入力!G21="","",データ入力!G21)</f>
        <v/>
      </c>
      <c r="D25" s="20" t="str">
        <f t="shared" si="0"/>
        <v/>
      </c>
      <c r="E25" s="20" t="str">
        <f t="shared" si="3"/>
        <v/>
      </c>
      <c r="F25" s="20" t="str">
        <f t="shared" si="4"/>
        <v/>
      </c>
      <c r="G25" s="21"/>
    </row>
    <row r="26" spans="2:7" x14ac:dyDescent="0.15">
      <c r="B26" s="19" t="str">
        <f>IF(データ入力!E22="","",データ入力!E22)</f>
        <v/>
      </c>
      <c r="C26" s="19" t="str">
        <f>IF(データ入力!G22="","",データ入力!G22)</f>
        <v/>
      </c>
      <c r="D26" s="20" t="str">
        <f t="shared" si="0"/>
        <v/>
      </c>
      <c r="E26" s="20" t="str">
        <f t="shared" si="3"/>
        <v/>
      </c>
      <c r="F26" s="20" t="str">
        <f t="shared" si="4"/>
        <v/>
      </c>
      <c r="G26" s="21"/>
    </row>
    <row r="27" spans="2:7" x14ac:dyDescent="0.15">
      <c r="B27" s="19" t="str">
        <f>IF(データ入力!E23="","",データ入力!E23)</f>
        <v/>
      </c>
      <c r="C27" s="19" t="str">
        <f>IF(データ入力!G23="","",データ入力!G23)</f>
        <v/>
      </c>
      <c r="D27" s="20" t="str">
        <f t="shared" si="0"/>
        <v/>
      </c>
      <c r="E27" s="20" t="str">
        <f t="shared" si="3"/>
        <v/>
      </c>
      <c r="F27" s="20" t="str">
        <f t="shared" si="4"/>
        <v/>
      </c>
      <c r="G27" s="21"/>
    </row>
    <row r="28" spans="2:7" x14ac:dyDescent="0.15">
      <c r="B28" s="19" t="str">
        <f>IF(データ入力!E24="","",データ入力!E24)</f>
        <v/>
      </c>
      <c r="C28" s="19" t="str">
        <f>IF(データ入力!G24="","",データ入力!G24)</f>
        <v/>
      </c>
      <c r="D28" s="20" t="str">
        <f t="shared" si="0"/>
        <v/>
      </c>
      <c r="E28" s="20" t="str">
        <f t="shared" si="3"/>
        <v/>
      </c>
      <c r="F28" s="20" t="str">
        <f t="shared" si="4"/>
        <v/>
      </c>
      <c r="G28" s="21"/>
    </row>
    <row r="29" spans="2:7" x14ac:dyDescent="0.15">
      <c r="B29" s="19" t="str">
        <f>IF(データ入力!E25="","",データ入力!E25)</f>
        <v/>
      </c>
      <c r="C29" s="19" t="str">
        <f>IF(データ入力!G25="","",データ入力!G25)</f>
        <v/>
      </c>
      <c r="D29" s="20" t="str">
        <f t="shared" si="0"/>
        <v/>
      </c>
      <c r="E29" s="20" t="str">
        <f t="shared" si="3"/>
        <v/>
      </c>
      <c r="F29" s="20" t="str">
        <f t="shared" si="4"/>
        <v/>
      </c>
      <c r="G29" s="21"/>
    </row>
    <row r="30" spans="2:7" x14ac:dyDescent="0.15">
      <c r="B30" s="19" t="str">
        <f>IF(データ入力!E26="","",データ入力!E26)</f>
        <v/>
      </c>
      <c r="C30" s="19" t="str">
        <f>IF(データ入力!G26="","",データ入力!G26)</f>
        <v/>
      </c>
      <c r="D30" s="20" t="str">
        <f t="shared" si="0"/>
        <v/>
      </c>
      <c r="E30" s="20" t="str">
        <f t="shared" si="3"/>
        <v/>
      </c>
      <c r="F30" s="20" t="str">
        <f t="shared" si="4"/>
        <v/>
      </c>
      <c r="G30" s="21"/>
    </row>
    <row r="31" spans="2:7" x14ac:dyDescent="0.15">
      <c r="B31" s="19" t="str">
        <f>IF(データ入力!E27="","",データ入力!E27)</f>
        <v/>
      </c>
      <c r="C31" s="19" t="str">
        <f>IF(データ入力!G27="","",データ入力!G27)</f>
        <v/>
      </c>
      <c r="D31" s="20" t="str">
        <f t="shared" si="0"/>
        <v/>
      </c>
      <c r="E31" s="20" t="str">
        <f t="shared" si="3"/>
        <v/>
      </c>
      <c r="F31" s="20" t="str">
        <f t="shared" si="4"/>
        <v/>
      </c>
      <c r="G31" s="21"/>
    </row>
    <row r="32" spans="2:7" x14ac:dyDescent="0.15">
      <c r="B32" s="19" t="str">
        <f>IF(データ入力!E28="","",データ入力!E28)</f>
        <v/>
      </c>
      <c r="C32" s="19" t="str">
        <f>IF(データ入力!G28="","",データ入力!G28)</f>
        <v/>
      </c>
      <c r="D32" s="20" t="str">
        <f t="shared" si="0"/>
        <v/>
      </c>
      <c r="E32" s="20" t="str">
        <f t="shared" si="3"/>
        <v/>
      </c>
      <c r="F32" s="20" t="str">
        <f t="shared" si="4"/>
        <v/>
      </c>
      <c r="G32" s="21"/>
    </row>
    <row r="33" spans="2:9" x14ac:dyDescent="0.15">
      <c r="B33" s="19" t="str">
        <f>IF(データ入力!E29="","",データ入力!E29)</f>
        <v/>
      </c>
      <c r="C33" s="19" t="str">
        <f>IF(データ入力!G29="","",データ入力!G29)</f>
        <v/>
      </c>
      <c r="D33" s="20" t="str">
        <f t="shared" si="0"/>
        <v/>
      </c>
      <c r="E33" s="20" t="str">
        <f t="shared" si="3"/>
        <v/>
      </c>
      <c r="F33" s="20" t="str">
        <f t="shared" si="4"/>
        <v/>
      </c>
      <c r="G33" s="21"/>
    </row>
    <row r="34" spans="2:9" x14ac:dyDescent="0.15">
      <c r="B34" s="19" t="str">
        <f>IF(データ入力!E30="","",データ入力!E30)</f>
        <v/>
      </c>
      <c r="C34" s="19" t="str">
        <f>IF(データ入力!G30="","",データ入力!G30)</f>
        <v/>
      </c>
      <c r="D34" s="20" t="str">
        <f t="shared" si="0"/>
        <v/>
      </c>
      <c r="E34" s="20" t="str">
        <f t="shared" si="3"/>
        <v/>
      </c>
      <c r="F34" s="20" t="str">
        <f t="shared" si="4"/>
        <v/>
      </c>
      <c r="G34" s="21"/>
      <c r="H34" s="1" t="s">
        <v>37</v>
      </c>
    </row>
    <row r="35" spans="2:9" x14ac:dyDescent="0.15">
      <c r="B35" s="19" t="str">
        <f>IF(データ入力!E31="","",データ入力!E31)</f>
        <v/>
      </c>
      <c r="C35" s="19" t="str">
        <f>IF(データ入力!G31="","",データ入力!G31)</f>
        <v/>
      </c>
      <c r="D35" s="20" t="str">
        <f t="shared" si="0"/>
        <v/>
      </c>
      <c r="E35" s="20" t="str">
        <f t="shared" si="3"/>
        <v/>
      </c>
      <c r="F35" s="20" t="str">
        <f t="shared" si="4"/>
        <v/>
      </c>
      <c r="G35" s="21"/>
      <c r="H35" s="1" t="s">
        <v>35</v>
      </c>
    </row>
    <row r="36" spans="2:9" x14ac:dyDescent="0.15">
      <c r="B36" s="19" t="str">
        <f>IF(データ入力!E32="","",データ入力!E32)</f>
        <v/>
      </c>
      <c r="C36" s="19" t="str">
        <f>IF(データ入力!G32="","",データ入力!G32)</f>
        <v/>
      </c>
      <c r="D36" s="20" t="str">
        <f t="shared" si="0"/>
        <v/>
      </c>
      <c r="E36" s="20" t="str">
        <f t="shared" si="3"/>
        <v/>
      </c>
      <c r="F36" s="20" t="str">
        <f t="shared" si="4"/>
        <v/>
      </c>
      <c r="G36" s="21"/>
      <c r="H36" s="2">
        <v>0</v>
      </c>
      <c r="I36" s="3">
        <f>$H$5</f>
        <v>167.65460741133839</v>
      </c>
    </row>
    <row r="37" spans="2:9" x14ac:dyDescent="0.15">
      <c r="B37" s="19" t="str">
        <f>IF(データ入力!E33="","",データ入力!E33)</f>
        <v/>
      </c>
      <c r="C37" s="19" t="str">
        <f>IF(データ入力!G33="","",データ入力!G33)</f>
        <v/>
      </c>
      <c r="D37" s="20" t="str">
        <f t="shared" si="0"/>
        <v/>
      </c>
      <c r="E37" s="20" t="str">
        <f t="shared" si="3"/>
        <v/>
      </c>
      <c r="F37" s="20" t="str">
        <f t="shared" si="4"/>
        <v/>
      </c>
      <c r="G37" s="21"/>
      <c r="H37" s="2">
        <f>MAX(B10:B109)</f>
        <v>49</v>
      </c>
      <c r="I37" s="3">
        <f>$H$5</f>
        <v>167.65460741133839</v>
      </c>
    </row>
    <row r="38" spans="2:9" x14ac:dyDescent="0.15">
      <c r="B38" s="19" t="str">
        <f>IF(データ入力!E34="","",データ入力!E34)</f>
        <v/>
      </c>
      <c r="C38" s="19" t="str">
        <f>IF(データ入力!G34="","",データ入力!G34)</f>
        <v/>
      </c>
      <c r="D38" s="20" t="str">
        <f t="shared" si="0"/>
        <v/>
      </c>
      <c r="E38" s="20" t="str">
        <f t="shared" si="3"/>
        <v/>
      </c>
      <c r="F38" s="20" t="str">
        <f t="shared" si="4"/>
        <v/>
      </c>
      <c r="G38" s="21"/>
      <c r="H38" s="1" t="s">
        <v>36</v>
      </c>
    </row>
    <row r="39" spans="2:9" x14ac:dyDescent="0.15">
      <c r="B39" s="19" t="str">
        <f>IF(データ入力!E35="","",データ入力!E35)</f>
        <v/>
      </c>
      <c r="C39" s="19" t="str">
        <f>IF(データ入力!G35="","",データ入力!G35)</f>
        <v/>
      </c>
      <c r="D39" s="20" t="str">
        <f t="shared" si="0"/>
        <v/>
      </c>
      <c r="E39" s="20" t="str">
        <f t="shared" si="3"/>
        <v/>
      </c>
      <c r="F39" s="20" t="str">
        <f t="shared" si="4"/>
        <v/>
      </c>
      <c r="G39" s="21"/>
      <c r="H39" s="2">
        <v>0</v>
      </c>
      <c r="I39" s="3">
        <f>$K$5</f>
        <v>174.71374877602634</v>
      </c>
    </row>
    <row r="40" spans="2:9" x14ac:dyDescent="0.15">
      <c r="B40" s="19" t="str">
        <f>IF(データ入力!E36="","",データ入力!E36)</f>
        <v/>
      </c>
      <c r="C40" s="19" t="str">
        <f>IF(データ入力!G36="","",データ入力!G36)</f>
        <v/>
      </c>
      <c r="D40" s="20" t="str">
        <f t="shared" si="0"/>
        <v/>
      </c>
      <c r="E40" s="20" t="str">
        <f t="shared" si="3"/>
        <v/>
      </c>
      <c r="F40" s="20" t="str">
        <f t="shared" si="4"/>
        <v/>
      </c>
      <c r="G40" s="21"/>
      <c r="H40" s="2">
        <f>MAX(B10:B109)</f>
        <v>49</v>
      </c>
      <c r="I40" s="3">
        <f>$K$5</f>
        <v>174.71374877602634</v>
      </c>
    </row>
    <row r="41" spans="2:9" x14ac:dyDescent="0.15">
      <c r="B41" s="19" t="str">
        <f>IF(データ入力!E37="","",データ入力!E37)</f>
        <v/>
      </c>
      <c r="C41" s="19" t="str">
        <f>IF(データ入力!G37="","",データ入力!G37)</f>
        <v/>
      </c>
      <c r="D41" s="20" t="str">
        <f t="shared" si="0"/>
        <v/>
      </c>
      <c r="E41" s="20" t="str">
        <f t="shared" si="3"/>
        <v/>
      </c>
      <c r="F41" s="20" t="str">
        <f t="shared" si="4"/>
        <v/>
      </c>
      <c r="G41" s="21"/>
    </row>
    <row r="42" spans="2:9" x14ac:dyDescent="0.15">
      <c r="B42" s="19" t="str">
        <f>IF(データ入力!E38="","",データ入力!E38)</f>
        <v/>
      </c>
      <c r="C42" s="19" t="str">
        <f>IF(データ入力!G38="","",データ入力!G38)</f>
        <v/>
      </c>
      <c r="D42" s="20" t="str">
        <f t="shared" si="0"/>
        <v/>
      </c>
      <c r="E42" s="20" t="str">
        <f t="shared" si="3"/>
        <v/>
      </c>
      <c r="F42" s="20" t="str">
        <f t="shared" si="4"/>
        <v/>
      </c>
      <c r="G42" s="21"/>
    </row>
    <row r="43" spans="2:9" x14ac:dyDescent="0.15">
      <c r="B43" s="19" t="str">
        <f>IF(データ入力!E39="","",データ入力!E39)</f>
        <v/>
      </c>
      <c r="C43" s="19" t="str">
        <f>IF(データ入力!G39="","",データ入力!G39)</f>
        <v/>
      </c>
      <c r="D43" s="20" t="str">
        <f t="shared" si="0"/>
        <v/>
      </c>
      <c r="E43" s="20" t="str">
        <f t="shared" si="3"/>
        <v/>
      </c>
      <c r="F43" s="20" t="str">
        <f t="shared" si="4"/>
        <v/>
      </c>
      <c r="G43" s="21"/>
    </row>
    <row r="44" spans="2:9" x14ac:dyDescent="0.15">
      <c r="B44" s="19" t="str">
        <f>IF(データ入力!E40="","",データ入力!E40)</f>
        <v/>
      </c>
      <c r="C44" s="19" t="str">
        <f>IF(データ入力!G40="","",データ入力!G40)</f>
        <v/>
      </c>
      <c r="D44" s="20" t="str">
        <f t="shared" si="0"/>
        <v/>
      </c>
      <c r="E44" s="20" t="str">
        <f t="shared" si="3"/>
        <v/>
      </c>
      <c r="F44" s="20" t="str">
        <f t="shared" si="4"/>
        <v/>
      </c>
      <c r="G44" s="21"/>
    </row>
    <row r="45" spans="2:9" x14ac:dyDescent="0.15">
      <c r="B45" s="19" t="str">
        <f>IF(データ入力!E41="","",データ入力!E41)</f>
        <v/>
      </c>
      <c r="C45" s="19" t="str">
        <f>IF(データ入力!G41="","",データ入力!G41)</f>
        <v/>
      </c>
      <c r="D45" s="20" t="str">
        <f t="shared" si="0"/>
        <v/>
      </c>
      <c r="E45" s="20" t="str">
        <f t="shared" si="3"/>
        <v/>
      </c>
      <c r="F45" s="20" t="str">
        <f t="shared" si="4"/>
        <v/>
      </c>
      <c r="G45" s="21"/>
    </row>
    <row r="46" spans="2:9" x14ac:dyDescent="0.15">
      <c r="B46" s="19" t="str">
        <f>IF(データ入力!E42="","",データ入力!E42)</f>
        <v/>
      </c>
      <c r="C46" s="19" t="str">
        <f>IF(データ入力!G42="","",データ入力!G42)</f>
        <v/>
      </c>
      <c r="D46" s="20" t="str">
        <f t="shared" si="0"/>
        <v/>
      </c>
      <c r="E46" s="20" t="str">
        <f t="shared" si="3"/>
        <v/>
      </c>
      <c r="F46" s="20" t="str">
        <f t="shared" si="4"/>
        <v/>
      </c>
      <c r="G46" s="21"/>
    </row>
    <row r="47" spans="2:9" x14ac:dyDescent="0.15">
      <c r="B47" s="19" t="str">
        <f>IF(データ入力!E43="","",データ入力!E43)</f>
        <v/>
      </c>
      <c r="C47" s="19" t="str">
        <f>IF(データ入力!G43="","",データ入力!G43)</f>
        <v/>
      </c>
      <c r="D47" s="20" t="str">
        <f t="shared" si="0"/>
        <v/>
      </c>
      <c r="E47" s="20" t="str">
        <f t="shared" si="3"/>
        <v/>
      </c>
      <c r="F47" s="20" t="str">
        <f t="shared" si="4"/>
        <v/>
      </c>
      <c r="G47" s="21"/>
    </row>
    <row r="48" spans="2:9" x14ac:dyDescent="0.15">
      <c r="B48" s="19" t="str">
        <f>IF(データ入力!E44="","",データ入力!E44)</f>
        <v/>
      </c>
      <c r="C48" s="19" t="str">
        <f>IF(データ入力!G44="","",データ入力!G44)</f>
        <v/>
      </c>
      <c r="D48" s="20" t="str">
        <f t="shared" si="0"/>
        <v/>
      </c>
      <c r="E48" s="20" t="str">
        <f t="shared" si="3"/>
        <v/>
      </c>
      <c r="F48" s="20" t="str">
        <f t="shared" si="4"/>
        <v/>
      </c>
      <c r="G48" s="21"/>
    </row>
    <row r="49" spans="2:7" x14ac:dyDescent="0.15">
      <c r="B49" s="19" t="str">
        <f>IF(データ入力!E45="","",データ入力!E45)</f>
        <v/>
      </c>
      <c r="C49" s="19" t="str">
        <f>IF(データ入力!G45="","",データ入力!G45)</f>
        <v/>
      </c>
      <c r="D49" s="20" t="str">
        <f t="shared" si="0"/>
        <v/>
      </c>
      <c r="E49" s="20" t="str">
        <f t="shared" si="3"/>
        <v/>
      </c>
      <c r="F49" s="20" t="str">
        <f t="shared" si="4"/>
        <v/>
      </c>
      <c r="G49" s="21"/>
    </row>
    <row r="50" spans="2:7" x14ac:dyDescent="0.15">
      <c r="B50" s="19" t="str">
        <f>IF(データ入力!E46="","",データ入力!E46)</f>
        <v/>
      </c>
      <c r="C50" s="19" t="str">
        <f>IF(データ入力!G46="","",データ入力!G46)</f>
        <v/>
      </c>
      <c r="D50" s="20" t="str">
        <f t="shared" si="0"/>
        <v/>
      </c>
      <c r="E50" s="20" t="str">
        <f t="shared" si="3"/>
        <v/>
      </c>
      <c r="F50" s="20" t="str">
        <f t="shared" si="4"/>
        <v/>
      </c>
      <c r="G50" s="21"/>
    </row>
    <row r="51" spans="2:7" x14ac:dyDescent="0.15">
      <c r="B51" s="19" t="str">
        <f>IF(データ入力!E47="","",データ入力!E47)</f>
        <v/>
      </c>
      <c r="C51" s="19" t="str">
        <f>IF(データ入力!G47="","",データ入力!G47)</f>
        <v/>
      </c>
      <c r="D51" s="20" t="str">
        <f t="shared" si="0"/>
        <v/>
      </c>
      <c r="E51" s="20" t="str">
        <f t="shared" si="3"/>
        <v/>
      </c>
      <c r="F51" s="20" t="str">
        <f t="shared" si="4"/>
        <v/>
      </c>
      <c r="G51" s="21"/>
    </row>
    <row r="52" spans="2:7" x14ac:dyDescent="0.15">
      <c r="B52" s="19" t="str">
        <f>IF(データ入力!E48="","",データ入力!E48)</f>
        <v/>
      </c>
      <c r="C52" s="19" t="str">
        <f>IF(データ入力!G48="","",データ入力!G48)</f>
        <v/>
      </c>
      <c r="D52" s="20" t="str">
        <f t="shared" si="0"/>
        <v/>
      </c>
      <c r="E52" s="20" t="str">
        <f t="shared" si="3"/>
        <v/>
      </c>
      <c r="F52" s="20" t="str">
        <f t="shared" si="4"/>
        <v/>
      </c>
      <c r="G52" s="21"/>
    </row>
    <row r="53" spans="2:7" x14ac:dyDescent="0.15">
      <c r="B53" s="19" t="str">
        <f>IF(データ入力!E49="","",データ入力!E49)</f>
        <v/>
      </c>
      <c r="C53" s="19" t="str">
        <f>IF(データ入力!G49="","",データ入力!G49)</f>
        <v/>
      </c>
      <c r="D53" s="20" t="str">
        <f t="shared" si="0"/>
        <v/>
      </c>
      <c r="E53" s="20" t="str">
        <f t="shared" si="3"/>
        <v/>
      </c>
      <c r="F53" s="20" t="str">
        <f t="shared" si="4"/>
        <v/>
      </c>
      <c r="G53" s="21"/>
    </row>
    <row r="54" spans="2:7" x14ac:dyDescent="0.15">
      <c r="B54" s="19" t="str">
        <f>IF(データ入力!E50="","",データ入力!E50)</f>
        <v/>
      </c>
      <c r="C54" s="19" t="str">
        <f>IF(データ入力!G50="","",データ入力!G50)</f>
        <v/>
      </c>
      <c r="D54" s="20" t="str">
        <f t="shared" si="0"/>
        <v/>
      </c>
      <c r="E54" s="20" t="str">
        <f t="shared" si="3"/>
        <v/>
      </c>
      <c r="F54" s="20" t="str">
        <f t="shared" si="4"/>
        <v/>
      </c>
      <c r="G54" s="21"/>
    </row>
    <row r="55" spans="2:7" x14ac:dyDescent="0.15">
      <c r="B55" s="19" t="str">
        <f>IF(データ入力!E51="","",データ入力!E51)</f>
        <v/>
      </c>
      <c r="C55" s="19" t="str">
        <f>IF(データ入力!G51="","",データ入力!G51)</f>
        <v/>
      </c>
      <c r="D55" s="20" t="str">
        <f t="shared" si="0"/>
        <v/>
      </c>
      <c r="E55" s="20" t="str">
        <f t="shared" si="3"/>
        <v/>
      </c>
      <c r="F55" s="20" t="str">
        <f t="shared" si="4"/>
        <v/>
      </c>
      <c r="G55" s="21"/>
    </row>
    <row r="56" spans="2:7" x14ac:dyDescent="0.15">
      <c r="B56" s="19" t="str">
        <f>IF(データ入力!E52="","",データ入力!E52)</f>
        <v/>
      </c>
      <c r="C56" s="19" t="str">
        <f>IF(データ入力!G52="","",データ入力!G52)</f>
        <v/>
      </c>
      <c r="D56" s="20" t="str">
        <f t="shared" si="0"/>
        <v/>
      </c>
      <c r="E56" s="20" t="str">
        <f t="shared" si="3"/>
        <v/>
      </c>
      <c r="F56" s="20" t="str">
        <f t="shared" si="4"/>
        <v/>
      </c>
      <c r="G56" s="21"/>
    </row>
    <row r="57" spans="2:7" x14ac:dyDescent="0.15">
      <c r="B57" s="19" t="str">
        <f>IF(データ入力!E53="","",データ入力!E53)</f>
        <v/>
      </c>
      <c r="C57" s="19" t="str">
        <f>IF(データ入力!G53="","",データ入力!G53)</f>
        <v/>
      </c>
      <c r="D57" s="20" t="str">
        <f t="shared" si="0"/>
        <v/>
      </c>
      <c r="E57" s="20" t="str">
        <f t="shared" si="3"/>
        <v/>
      </c>
      <c r="F57" s="20" t="str">
        <f t="shared" si="4"/>
        <v/>
      </c>
      <c r="G57" s="21"/>
    </row>
    <row r="58" spans="2:7" x14ac:dyDescent="0.15">
      <c r="B58" s="19" t="str">
        <f>IF(データ入力!E54="","",データ入力!E54)</f>
        <v/>
      </c>
      <c r="C58" s="19" t="str">
        <f>IF(データ入力!G54="","",データ入力!G54)</f>
        <v/>
      </c>
      <c r="D58" s="20" t="str">
        <f t="shared" si="0"/>
        <v/>
      </c>
      <c r="E58" s="20" t="str">
        <f t="shared" si="3"/>
        <v/>
      </c>
      <c r="F58" s="20" t="str">
        <f t="shared" si="4"/>
        <v/>
      </c>
      <c r="G58" s="21"/>
    </row>
    <row r="59" spans="2:7" x14ac:dyDescent="0.15">
      <c r="B59" s="19" t="str">
        <f>IF(データ入力!E55="","",データ入力!E55)</f>
        <v/>
      </c>
      <c r="C59" s="19" t="str">
        <f>IF(データ入力!G55="","",データ入力!G55)</f>
        <v/>
      </c>
      <c r="D59" s="20" t="str">
        <f t="shared" si="0"/>
        <v/>
      </c>
      <c r="E59" s="20" t="str">
        <f t="shared" si="3"/>
        <v/>
      </c>
      <c r="F59" s="20" t="str">
        <f t="shared" si="4"/>
        <v/>
      </c>
      <c r="G59" s="21"/>
    </row>
    <row r="60" spans="2:7" x14ac:dyDescent="0.15">
      <c r="B60" s="19" t="str">
        <f>IF(データ入力!E56="","",データ入力!E56)</f>
        <v/>
      </c>
      <c r="C60" s="19" t="str">
        <f>IF(データ入力!G56="","",データ入力!G56)</f>
        <v/>
      </c>
      <c r="D60" s="20" t="str">
        <f t="shared" si="0"/>
        <v/>
      </c>
      <c r="E60" s="20" t="str">
        <f t="shared" si="3"/>
        <v/>
      </c>
      <c r="F60" s="20" t="str">
        <f t="shared" si="4"/>
        <v/>
      </c>
      <c r="G60" s="21"/>
    </row>
    <row r="61" spans="2:7" x14ac:dyDescent="0.15">
      <c r="B61" s="19" t="str">
        <f>IF(データ入力!E57="","",データ入力!E57)</f>
        <v/>
      </c>
      <c r="C61" s="19" t="str">
        <f>IF(データ入力!G57="","",データ入力!G57)</f>
        <v/>
      </c>
      <c r="D61" s="20" t="str">
        <f t="shared" si="0"/>
        <v/>
      </c>
      <c r="E61" s="20" t="str">
        <f t="shared" si="3"/>
        <v/>
      </c>
      <c r="F61" s="20" t="str">
        <f t="shared" si="4"/>
        <v/>
      </c>
      <c r="G61" s="21"/>
    </row>
    <row r="62" spans="2:7" x14ac:dyDescent="0.15">
      <c r="B62" s="19" t="str">
        <f>IF(データ入力!E58="","",データ入力!E58)</f>
        <v/>
      </c>
      <c r="C62" s="19" t="str">
        <f>IF(データ入力!G58="","",データ入力!G58)</f>
        <v/>
      </c>
      <c r="D62" s="20" t="str">
        <f t="shared" si="0"/>
        <v/>
      </c>
      <c r="E62" s="20" t="str">
        <f t="shared" si="3"/>
        <v/>
      </c>
      <c r="F62" s="20" t="str">
        <f t="shared" si="4"/>
        <v/>
      </c>
      <c r="G62" s="21"/>
    </row>
    <row r="63" spans="2:7" x14ac:dyDescent="0.15">
      <c r="B63" s="19" t="str">
        <f>IF(データ入力!E59="","",データ入力!E59)</f>
        <v/>
      </c>
      <c r="C63" s="19" t="str">
        <f>IF(データ入力!G59="","",データ入力!G59)</f>
        <v/>
      </c>
      <c r="D63" s="20" t="str">
        <f t="shared" si="0"/>
        <v/>
      </c>
      <c r="E63" s="20" t="str">
        <f t="shared" si="3"/>
        <v/>
      </c>
      <c r="F63" s="20" t="str">
        <f t="shared" si="4"/>
        <v/>
      </c>
      <c r="G63" s="21"/>
    </row>
    <row r="64" spans="2:7" x14ac:dyDescent="0.15">
      <c r="B64" s="19" t="str">
        <f>IF(データ入力!E60="","",データ入力!E60)</f>
        <v/>
      </c>
      <c r="C64" s="19" t="str">
        <f>IF(データ入力!G60="","",データ入力!G60)</f>
        <v/>
      </c>
      <c r="D64" s="20" t="str">
        <f t="shared" si="0"/>
        <v/>
      </c>
      <c r="E64" s="20" t="str">
        <f t="shared" si="3"/>
        <v/>
      </c>
      <c r="F64" s="20" t="str">
        <f t="shared" si="4"/>
        <v/>
      </c>
      <c r="G64" s="21"/>
    </row>
    <row r="65" spans="2:7" x14ac:dyDescent="0.15">
      <c r="B65" s="19" t="str">
        <f>IF(データ入力!E61="","",データ入力!E61)</f>
        <v/>
      </c>
      <c r="C65" s="19" t="str">
        <f>IF(データ入力!G61="","",データ入力!G61)</f>
        <v/>
      </c>
      <c r="D65" s="20" t="str">
        <f t="shared" si="0"/>
        <v/>
      </c>
      <c r="E65" s="20" t="str">
        <f t="shared" si="3"/>
        <v/>
      </c>
      <c r="F65" s="20" t="str">
        <f t="shared" si="4"/>
        <v/>
      </c>
      <c r="G65" s="21"/>
    </row>
    <row r="66" spans="2:7" x14ac:dyDescent="0.15">
      <c r="B66" s="19" t="str">
        <f>IF(データ入力!E62="","",データ入力!E62)</f>
        <v/>
      </c>
      <c r="C66" s="19" t="str">
        <f>IF(データ入力!G62="","",データ入力!G62)</f>
        <v/>
      </c>
      <c r="D66" s="20" t="str">
        <f t="shared" si="0"/>
        <v/>
      </c>
      <c r="E66" s="20" t="str">
        <f t="shared" si="3"/>
        <v/>
      </c>
      <c r="F66" s="20" t="str">
        <f t="shared" si="4"/>
        <v/>
      </c>
      <c r="G66" s="21"/>
    </row>
    <row r="67" spans="2:7" x14ac:dyDescent="0.15">
      <c r="B67" s="19" t="str">
        <f>IF(データ入力!E63="","",データ入力!E63)</f>
        <v/>
      </c>
      <c r="C67" s="19" t="str">
        <f>IF(データ入力!G63="","",データ入力!G63)</f>
        <v/>
      </c>
      <c r="D67" s="20" t="str">
        <f t="shared" si="0"/>
        <v/>
      </c>
      <c r="E67" s="20" t="str">
        <f t="shared" si="3"/>
        <v/>
      </c>
      <c r="F67" s="20" t="str">
        <f t="shared" si="4"/>
        <v/>
      </c>
      <c r="G67" s="21"/>
    </row>
    <row r="68" spans="2:7" x14ac:dyDescent="0.15">
      <c r="B68" s="19" t="str">
        <f>IF(データ入力!E64="","",データ入力!E64)</f>
        <v/>
      </c>
      <c r="C68" s="19" t="str">
        <f>IF(データ入力!G64="","",データ入力!G64)</f>
        <v/>
      </c>
      <c r="D68" s="20" t="str">
        <f t="shared" si="0"/>
        <v/>
      </c>
      <c r="E68" s="20" t="str">
        <f t="shared" si="3"/>
        <v/>
      </c>
      <c r="F68" s="20" t="str">
        <f t="shared" si="4"/>
        <v/>
      </c>
      <c r="G68" s="21"/>
    </row>
    <row r="69" spans="2:7" x14ac:dyDescent="0.15">
      <c r="B69" s="19" t="str">
        <f>IF(データ入力!E65="","",データ入力!E65)</f>
        <v/>
      </c>
      <c r="C69" s="19" t="str">
        <f>IF(データ入力!G65="","",データ入力!G65)</f>
        <v/>
      </c>
      <c r="D69" s="20" t="str">
        <f t="shared" si="0"/>
        <v/>
      </c>
      <c r="E69" s="20" t="str">
        <f t="shared" si="3"/>
        <v/>
      </c>
      <c r="F69" s="20" t="str">
        <f t="shared" si="4"/>
        <v/>
      </c>
      <c r="G69" s="21"/>
    </row>
    <row r="70" spans="2:7" x14ac:dyDescent="0.15">
      <c r="B70" s="19" t="str">
        <f>IF(データ入力!E66="","",データ入力!E66)</f>
        <v/>
      </c>
      <c r="C70" s="19" t="str">
        <f>IF(データ入力!G66="","",データ入力!G66)</f>
        <v/>
      </c>
      <c r="D70" s="20" t="str">
        <f t="shared" si="0"/>
        <v/>
      </c>
      <c r="E70" s="20" t="str">
        <f t="shared" si="3"/>
        <v/>
      </c>
      <c r="F70" s="20" t="str">
        <f t="shared" si="4"/>
        <v/>
      </c>
      <c r="G70" s="21"/>
    </row>
    <row r="71" spans="2:7" x14ac:dyDescent="0.15">
      <c r="B71" s="19" t="str">
        <f>IF(データ入力!E67="","",データ入力!E67)</f>
        <v/>
      </c>
      <c r="C71" s="19" t="str">
        <f>IF(データ入力!G67="","",データ入力!G67)</f>
        <v/>
      </c>
      <c r="D71" s="20" t="str">
        <f t="shared" si="0"/>
        <v/>
      </c>
      <c r="E71" s="20" t="str">
        <f t="shared" si="3"/>
        <v/>
      </c>
      <c r="F71" s="20" t="str">
        <f t="shared" si="4"/>
        <v/>
      </c>
      <c r="G71" s="21"/>
    </row>
    <row r="72" spans="2:7" x14ac:dyDescent="0.15">
      <c r="B72" s="19" t="str">
        <f>IF(データ入力!E68="","",データ入力!E68)</f>
        <v/>
      </c>
      <c r="C72" s="19" t="str">
        <f>IF(データ入力!G68="","",データ入力!G68)</f>
        <v/>
      </c>
      <c r="D72" s="20" t="str">
        <f t="shared" si="0"/>
        <v/>
      </c>
      <c r="E72" s="20" t="str">
        <f t="shared" si="3"/>
        <v/>
      </c>
      <c r="F72" s="20" t="str">
        <f t="shared" si="4"/>
        <v/>
      </c>
      <c r="G72" s="21"/>
    </row>
    <row r="73" spans="2:7" x14ac:dyDescent="0.15">
      <c r="B73" s="19" t="str">
        <f>IF(データ入力!E69="","",データ入力!E69)</f>
        <v/>
      </c>
      <c r="C73" s="19" t="str">
        <f>IF(データ入力!G69="","",データ入力!G69)</f>
        <v/>
      </c>
      <c r="D73" s="20" t="str">
        <f t="shared" si="0"/>
        <v/>
      </c>
      <c r="E73" s="20" t="str">
        <f t="shared" si="3"/>
        <v/>
      </c>
      <c r="F73" s="20" t="str">
        <f t="shared" si="4"/>
        <v/>
      </c>
      <c r="G73" s="21"/>
    </row>
    <row r="74" spans="2:7" x14ac:dyDescent="0.15">
      <c r="B74" s="19" t="str">
        <f>IF(データ入力!E70="","",データ入力!E70)</f>
        <v/>
      </c>
      <c r="C74" s="19" t="str">
        <f>IF(データ入力!G70="","",データ入力!G70)</f>
        <v/>
      </c>
      <c r="D74" s="20" t="str">
        <f t="shared" si="0"/>
        <v/>
      </c>
      <c r="E74" s="20" t="str">
        <f t="shared" si="3"/>
        <v/>
      </c>
      <c r="F74" s="20" t="str">
        <f t="shared" si="4"/>
        <v/>
      </c>
      <c r="G74" s="21"/>
    </row>
    <row r="75" spans="2:7" x14ac:dyDescent="0.15">
      <c r="B75" s="19" t="str">
        <f>IF(データ入力!E71="","",データ入力!E71)</f>
        <v/>
      </c>
      <c r="C75" s="19" t="str">
        <f>IF(データ入力!G71="","",データ入力!G71)</f>
        <v/>
      </c>
      <c r="D75" s="20" t="str">
        <f t="shared" ref="D75:D109" si="5">IF(B75="","",IF(B75=0,0,$C$4*(1-EXP(-$C$5*B75))))</f>
        <v/>
      </c>
      <c r="E75" s="20" t="str">
        <f t="shared" si="3"/>
        <v/>
      </c>
      <c r="F75" s="20" t="str">
        <f t="shared" si="4"/>
        <v/>
      </c>
      <c r="G75" s="21"/>
    </row>
    <row r="76" spans="2:7" x14ac:dyDescent="0.15">
      <c r="B76" s="19" t="str">
        <f>IF(データ入力!E72="","",データ入力!E72)</f>
        <v/>
      </c>
      <c r="C76" s="19" t="str">
        <f>IF(データ入力!G72="","",データ入力!G72)</f>
        <v/>
      </c>
      <c r="D76" s="20" t="str">
        <f t="shared" si="5"/>
        <v/>
      </c>
      <c r="E76" s="20" t="str">
        <f t="shared" si="3"/>
        <v/>
      </c>
      <c r="F76" s="20" t="str">
        <f t="shared" si="4"/>
        <v/>
      </c>
      <c r="G76" s="21"/>
    </row>
    <row r="77" spans="2:7" x14ac:dyDescent="0.15">
      <c r="B77" s="19" t="str">
        <f>IF(データ入力!E73="","",データ入力!E73)</f>
        <v/>
      </c>
      <c r="C77" s="19" t="str">
        <f>IF(データ入力!G73="","",データ入力!G73)</f>
        <v/>
      </c>
      <c r="D77" s="20" t="str">
        <f t="shared" si="5"/>
        <v/>
      </c>
      <c r="E77" s="20" t="str">
        <f t="shared" si="3"/>
        <v/>
      </c>
      <c r="F77" s="20" t="str">
        <f t="shared" si="4"/>
        <v/>
      </c>
      <c r="G77" s="21"/>
    </row>
    <row r="78" spans="2:7" x14ac:dyDescent="0.15">
      <c r="B78" s="19" t="str">
        <f>IF(データ入力!E74="","",データ入力!E74)</f>
        <v/>
      </c>
      <c r="C78" s="19" t="str">
        <f>IF(データ入力!G74="","",データ入力!G74)</f>
        <v/>
      </c>
      <c r="D78" s="20" t="str">
        <f t="shared" si="5"/>
        <v/>
      </c>
      <c r="E78" s="20" t="str">
        <f t="shared" si="3"/>
        <v/>
      </c>
      <c r="F78" s="20" t="str">
        <f t="shared" si="4"/>
        <v/>
      </c>
      <c r="G78" s="21"/>
    </row>
    <row r="79" spans="2:7" x14ac:dyDescent="0.15">
      <c r="B79" s="19" t="str">
        <f>IF(データ入力!E75="","",データ入力!E75)</f>
        <v/>
      </c>
      <c r="C79" s="19" t="str">
        <f>IF(データ入力!G75="","",データ入力!G75)</f>
        <v/>
      </c>
      <c r="D79" s="20" t="str">
        <f t="shared" si="5"/>
        <v/>
      </c>
      <c r="E79" s="20" t="str">
        <f t="shared" si="3"/>
        <v/>
      </c>
      <c r="F79" s="20" t="str">
        <f t="shared" si="4"/>
        <v/>
      </c>
      <c r="G79" s="21"/>
    </row>
    <row r="80" spans="2:7" x14ac:dyDescent="0.15">
      <c r="B80" s="19" t="str">
        <f>IF(データ入力!E76="","",データ入力!E76)</f>
        <v/>
      </c>
      <c r="C80" s="19" t="str">
        <f>IF(データ入力!G76="","",データ入力!G76)</f>
        <v/>
      </c>
      <c r="D80" s="20" t="str">
        <f t="shared" si="5"/>
        <v/>
      </c>
      <c r="E80" s="20" t="str">
        <f t="shared" si="3"/>
        <v/>
      </c>
      <c r="F80" s="20" t="str">
        <f t="shared" si="4"/>
        <v/>
      </c>
      <c r="G80" s="21"/>
    </row>
    <row r="81" spans="2:7" x14ac:dyDescent="0.15">
      <c r="B81" s="19" t="str">
        <f>IF(データ入力!E77="","",データ入力!E77)</f>
        <v/>
      </c>
      <c r="C81" s="19" t="str">
        <f>IF(データ入力!G77="","",データ入力!G77)</f>
        <v/>
      </c>
      <c r="D81" s="20" t="str">
        <f t="shared" si="5"/>
        <v/>
      </c>
      <c r="E81" s="20" t="str">
        <f t="shared" si="3"/>
        <v/>
      </c>
      <c r="F81" s="20" t="str">
        <f t="shared" si="4"/>
        <v/>
      </c>
      <c r="G81" s="21"/>
    </row>
    <row r="82" spans="2:7" x14ac:dyDescent="0.15">
      <c r="B82" s="19" t="str">
        <f>IF(データ入力!E78="","",データ入力!E78)</f>
        <v/>
      </c>
      <c r="C82" s="19" t="str">
        <f>IF(データ入力!G78="","",データ入力!G78)</f>
        <v/>
      </c>
      <c r="D82" s="20" t="str">
        <f t="shared" si="5"/>
        <v/>
      </c>
      <c r="E82" s="20" t="str">
        <f t="shared" ref="E82:E109" si="6">IF(B82="","",C82-D82)</f>
        <v/>
      </c>
      <c r="F82" s="20" t="str">
        <f t="shared" ref="F82:F109" si="7">IF(B82="","",E82^2)</f>
        <v/>
      </c>
      <c r="G82" s="21"/>
    </row>
    <row r="83" spans="2:7" x14ac:dyDescent="0.15">
      <c r="B83" s="19" t="str">
        <f>IF(データ入力!E79="","",データ入力!E79)</f>
        <v/>
      </c>
      <c r="C83" s="19" t="str">
        <f>IF(データ入力!G79="","",データ入力!G79)</f>
        <v/>
      </c>
      <c r="D83" s="20" t="str">
        <f t="shared" si="5"/>
        <v/>
      </c>
      <c r="E83" s="20" t="str">
        <f t="shared" si="6"/>
        <v/>
      </c>
      <c r="F83" s="20" t="str">
        <f t="shared" si="7"/>
        <v/>
      </c>
      <c r="G83" s="21"/>
    </row>
    <row r="84" spans="2:7" x14ac:dyDescent="0.15">
      <c r="B84" s="19" t="str">
        <f>IF(データ入力!E80="","",データ入力!E80)</f>
        <v/>
      </c>
      <c r="C84" s="19" t="str">
        <f>IF(データ入力!G80="","",データ入力!G80)</f>
        <v/>
      </c>
      <c r="D84" s="20" t="str">
        <f t="shared" si="5"/>
        <v/>
      </c>
      <c r="E84" s="20" t="str">
        <f t="shared" si="6"/>
        <v/>
      </c>
      <c r="F84" s="20" t="str">
        <f t="shared" si="7"/>
        <v/>
      </c>
      <c r="G84" s="21"/>
    </row>
    <row r="85" spans="2:7" x14ac:dyDescent="0.15">
      <c r="B85" s="19" t="str">
        <f>IF(データ入力!E81="","",データ入力!E81)</f>
        <v/>
      </c>
      <c r="C85" s="19" t="str">
        <f>IF(データ入力!G81="","",データ入力!G81)</f>
        <v/>
      </c>
      <c r="D85" s="20" t="str">
        <f t="shared" si="5"/>
        <v/>
      </c>
      <c r="E85" s="20" t="str">
        <f t="shared" si="6"/>
        <v/>
      </c>
      <c r="F85" s="20" t="str">
        <f t="shared" si="7"/>
        <v/>
      </c>
      <c r="G85" s="21"/>
    </row>
    <row r="86" spans="2:7" x14ac:dyDescent="0.15">
      <c r="B86" s="19" t="str">
        <f>IF(データ入力!E82="","",データ入力!E82)</f>
        <v/>
      </c>
      <c r="C86" s="19" t="str">
        <f>IF(データ入力!G82="","",データ入力!G82)</f>
        <v/>
      </c>
      <c r="D86" s="20" t="str">
        <f t="shared" si="5"/>
        <v/>
      </c>
      <c r="E86" s="20" t="str">
        <f t="shared" si="6"/>
        <v/>
      </c>
      <c r="F86" s="20" t="str">
        <f t="shared" si="7"/>
        <v/>
      </c>
      <c r="G86" s="21"/>
    </row>
    <row r="87" spans="2:7" x14ac:dyDescent="0.15">
      <c r="B87" s="19" t="str">
        <f>IF(データ入力!E83="","",データ入力!E83)</f>
        <v/>
      </c>
      <c r="C87" s="19" t="str">
        <f>IF(データ入力!G83="","",データ入力!G83)</f>
        <v/>
      </c>
      <c r="D87" s="20" t="str">
        <f t="shared" si="5"/>
        <v/>
      </c>
      <c r="E87" s="20" t="str">
        <f t="shared" si="6"/>
        <v/>
      </c>
      <c r="F87" s="20" t="str">
        <f t="shared" si="7"/>
        <v/>
      </c>
      <c r="G87" s="21"/>
    </row>
    <row r="88" spans="2:7" x14ac:dyDescent="0.15">
      <c r="B88" s="19" t="str">
        <f>IF(データ入力!E84="","",データ入力!E84)</f>
        <v/>
      </c>
      <c r="C88" s="19" t="str">
        <f>IF(データ入力!G84="","",データ入力!G84)</f>
        <v/>
      </c>
      <c r="D88" s="20" t="str">
        <f t="shared" si="5"/>
        <v/>
      </c>
      <c r="E88" s="20" t="str">
        <f t="shared" si="6"/>
        <v/>
      </c>
      <c r="F88" s="20" t="str">
        <f t="shared" si="7"/>
        <v/>
      </c>
      <c r="G88" s="21"/>
    </row>
    <row r="89" spans="2:7" x14ac:dyDescent="0.15">
      <c r="B89" s="19" t="str">
        <f>IF(データ入力!E85="","",データ入力!E85)</f>
        <v/>
      </c>
      <c r="C89" s="19" t="str">
        <f>IF(データ入力!G85="","",データ入力!G85)</f>
        <v/>
      </c>
      <c r="D89" s="20" t="str">
        <f t="shared" si="5"/>
        <v/>
      </c>
      <c r="E89" s="20" t="str">
        <f t="shared" si="6"/>
        <v/>
      </c>
      <c r="F89" s="20" t="str">
        <f t="shared" si="7"/>
        <v/>
      </c>
      <c r="G89" s="21"/>
    </row>
    <row r="90" spans="2:7" x14ac:dyDescent="0.15">
      <c r="B90" s="19" t="str">
        <f>IF(データ入力!E86="","",データ入力!E86)</f>
        <v/>
      </c>
      <c r="C90" s="19" t="str">
        <f>IF(データ入力!G86="","",データ入力!G86)</f>
        <v/>
      </c>
      <c r="D90" s="20" t="str">
        <f t="shared" si="5"/>
        <v/>
      </c>
      <c r="E90" s="20" t="str">
        <f t="shared" si="6"/>
        <v/>
      </c>
      <c r="F90" s="20" t="str">
        <f t="shared" si="7"/>
        <v/>
      </c>
      <c r="G90" s="21"/>
    </row>
    <row r="91" spans="2:7" x14ac:dyDescent="0.15">
      <c r="B91" s="19" t="str">
        <f>IF(データ入力!E87="","",データ入力!E87)</f>
        <v/>
      </c>
      <c r="C91" s="19" t="str">
        <f>IF(データ入力!G87="","",データ入力!G87)</f>
        <v/>
      </c>
      <c r="D91" s="20" t="str">
        <f t="shared" si="5"/>
        <v/>
      </c>
      <c r="E91" s="20" t="str">
        <f t="shared" si="6"/>
        <v/>
      </c>
      <c r="F91" s="20" t="str">
        <f t="shared" si="7"/>
        <v/>
      </c>
      <c r="G91" s="21"/>
    </row>
    <row r="92" spans="2:7" x14ac:dyDescent="0.15">
      <c r="B92" s="19" t="str">
        <f>IF(データ入力!E88="","",データ入力!E88)</f>
        <v/>
      </c>
      <c r="C92" s="19" t="str">
        <f>IF(データ入力!G88="","",データ入力!G88)</f>
        <v/>
      </c>
      <c r="D92" s="20" t="str">
        <f t="shared" si="5"/>
        <v/>
      </c>
      <c r="E92" s="20" t="str">
        <f t="shared" si="6"/>
        <v/>
      </c>
      <c r="F92" s="20" t="str">
        <f t="shared" si="7"/>
        <v/>
      </c>
      <c r="G92" s="21"/>
    </row>
    <row r="93" spans="2:7" x14ac:dyDescent="0.15">
      <c r="B93" s="19" t="str">
        <f>IF(データ入力!E89="","",データ入力!E89)</f>
        <v/>
      </c>
      <c r="C93" s="19" t="str">
        <f>IF(データ入力!G89="","",データ入力!G89)</f>
        <v/>
      </c>
      <c r="D93" s="20" t="str">
        <f t="shared" si="5"/>
        <v/>
      </c>
      <c r="E93" s="20" t="str">
        <f t="shared" si="6"/>
        <v/>
      </c>
      <c r="F93" s="20" t="str">
        <f t="shared" si="7"/>
        <v/>
      </c>
      <c r="G93" s="21"/>
    </row>
    <row r="94" spans="2:7" x14ac:dyDescent="0.15">
      <c r="B94" s="19" t="str">
        <f>IF(データ入力!E90="","",データ入力!E90)</f>
        <v/>
      </c>
      <c r="C94" s="19" t="str">
        <f>IF(データ入力!G90="","",データ入力!G90)</f>
        <v/>
      </c>
      <c r="D94" s="20" t="str">
        <f t="shared" si="5"/>
        <v/>
      </c>
      <c r="E94" s="20" t="str">
        <f t="shared" si="6"/>
        <v/>
      </c>
      <c r="F94" s="20" t="str">
        <f t="shared" si="7"/>
        <v/>
      </c>
      <c r="G94" s="21"/>
    </row>
    <row r="95" spans="2:7" x14ac:dyDescent="0.15">
      <c r="B95" s="19" t="str">
        <f>IF(データ入力!E91="","",データ入力!E91)</f>
        <v/>
      </c>
      <c r="C95" s="19" t="str">
        <f>IF(データ入力!G91="","",データ入力!G91)</f>
        <v/>
      </c>
      <c r="D95" s="20" t="str">
        <f t="shared" si="5"/>
        <v/>
      </c>
      <c r="E95" s="20" t="str">
        <f t="shared" si="6"/>
        <v/>
      </c>
      <c r="F95" s="20" t="str">
        <f t="shared" si="7"/>
        <v/>
      </c>
      <c r="G95" s="21"/>
    </row>
    <row r="96" spans="2:7" x14ac:dyDescent="0.15">
      <c r="B96" s="19" t="str">
        <f>IF(データ入力!E92="","",データ入力!E92)</f>
        <v/>
      </c>
      <c r="C96" s="19" t="str">
        <f>IF(データ入力!G92="","",データ入力!G92)</f>
        <v/>
      </c>
      <c r="D96" s="20" t="str">
        <f t="shared" si="5"/>
        <v/>
      </c>
      <c r="E96" s="20" t="str">
        <f t="shared" si="6"/>
        <v/>
      </c>
      <c r="F96" s="20" t="str">
        <f t="shared" si="7"/>
        <v/>
      </c>
      <c r="G96" s="21"/>
    </row>
    <row r="97" spans="2:7" x14ac:dyDescent="0.15">
      <c r="B97" s="19" t="str">
        <f>IF(データ入力!E93="","",データ入力!E93)</f>
        <v/>
      </c>
      <c r="C97" s="19" t="str">
        <f>IF(データ入力!G93="","",データ入力!G93)</f>
        <v/>
      </c>
      <c r="D97" s="20" t="str">
        <f t="shared" si="5"/>
        <v/>
      </c>
      <c r="E97" s="20" t="str">
        <f t="shared" si="6"/>
        <v/>
      </c>
      <c r="F97" s="20" t="str">
        <f t="shared" si="7"/>
        <v/>
      </c>
      <c r="G97" s="21"/>
    </row>
    <row r="98" spans="2:7" x14ac:dyDescent="0.15">
      <c r="B98" s="19" t="str">
        <f>IF(データ入力!E94="","",データ入力!E94)</f>
        <v/>
      </c>
      <c r="C98" s="19" t="str">
        <f>IF(データ入力!G94="","",データ入力!G94)</f>
        <v/>
      </c>
      <c r="D98" s="20" t="str">
        <f t="shared" si="5"/>
        <v/>
      </c>
      <c r="E98" s="20" t="str">
        <f t="shared" si="6"/>
        <v/>
      </c>
      <c r="F98" s="20" t="str">
        <f t="shared" si="7"/>
        <v/>
      </c>
      <c r="G98" s="21"/>
    </row>
    <row r="99" spans="2:7" x14ac:dyDescent="0.15">
      <c r="B99" s="19" t="str">
        <f>IF(データ入力!E95="","",データ入力!E95)</f>
        <v/>
      </c>
      <c r="C99" s="19" t="str">
        <f>IF(データ入力!G95="","",データ入力!G95)</f>
        <v/>
      </c>
      <c r="D99" s="20" t="str">
        <f t="shared" si="5"/>
        <v/>
      </c>
      <c r="E99" s="20" t="str">
        <f t="shared" si="6"/>
        <v/>
      </c>
      <c r="F99" s="20" t="str">
        <f t="shared" si="7"/>
        <v/>
      </c>
      <c r="G99" s="21"/>
    </row>
    <row r="100" spans="2:7" x14ac:dyDescent="0.15">
      <c r="B100" s="19" t="str">
        <f>IF(データ入力!E96="","",データ入力!E96)</f>
        <v/>
      </c>
      <c r="C100" s="19" t="str">
        <f>IF(データ入力!G96="","",データ入力!G96)</f>
        <v/>
      </c>
      <c r="D100" s="20" t="str">
        <f t="shared" si="5"/>
        <v/>
      </c>
      <c r="E100" s="20" t="str">
        <f t="shared" si="6"/>
        <v/>
      </c>
      <c r="F100" s="20" t="str">
        <f t="shared" si="7"/>
        <v/>
      </c>
      <c r="G100" s="21"/>
    </row>
    <row r="101" spans="2:7" x14ac:dyDescent="0.15">
      <c r="B101" s="19" t="str">
        <f>IF(データ入力!E97="","",データ入力!E97)</f>
        <v/>
      </c>
      <c r="C101" s="19" t="str">
        <f>IF(データ入力!G97="","",データ入力!G97)</f>
        <v/>
      </c>
      <c r="D101" s="20" t="str">
        <f t="shared" si="5"/>
        <v/>
      </c>
      <c r="E101" s="20" t="str">
        <f t="shared" si="6"/>
        <v/>
      </c>
      <c r="F101" s="20" t="str">
        <f t="shared" si="7"/>
        <v/>
      </c>
      <c r="G101" s="21"/>
    </row>
    <row r="102" spans="2:7" x14ac:dyDescent="0.15">
      <c r="B102" s="19" t="str">
        <f>IF(データ入力!E98="","",データ入力!E98)</f>
        <v/>
      </c>
      <c r="C102" s="19" t="str">
        <f>IF(データ入力!G98="","",データ入力!G98)</f>
        <v/>
      </c>
      <c r="D102" s="20" t="str">
        <f t="shared" si="5"/>
        <v/>
      </c>
      <c r="E102" s="20" t="str">
        <f t="shared" si="6"/>
        <v/>
      </c>
      <c r="F102" s="20" t="str">
        <f t="shared" si="7"/>
        <v/>
      </c>
      <c r="G102" s="21"/>
    </row>
    <row r="103" spans="2:7" x14ac:dyDescent="0.15">
      <c r="B103" s="19" t="str">
        <f>IF(データ入力!E99="","",データ入力!E99)</f>
        <v/>
      </c>
      <c r="C103" s="19" t="str">
        <f>IF(データ入力!G99="","",データ入力!G99)</f>
        <v/>
      </c>
      <c r="D103" s="20" t="str">
        <f t="shared" si="5"/>
        <v/>
      </c>
      <c r="E103" s="20" t="str">
        <f t="shared" si="6"/>
        <v/>
      </c>
      <c r="F103" s="20" t="str">
        <f t="shared" si="7"/>
        <v/>
      </c>
      <c r="G103" s="21"/>
    </row>
    <row r="104" spans="2:7" x14ac:dyDescent="0.15">
      <c r="B104" s="19" t="str">
        <f>IF(データ入力!E100="","",データ入力!E100)</f>
        <v/>
      </c>
      <c r="C104" s="19" t="str">
        <f>IF(データ入力!G100="","",データ入力!G100)</f>
        <v/>
      </c>
      <c r="D104" s="20" t="str">
        <f t="shared" si="5"/>
        <v/>
      </c>
      <c r="E104" s="20" t="str">
        <f t="shared" si="6"/>
        <v/>
      </c>
      <c r="F104" s="20" t="str">
        <f t="shared" si="7"/>
        <v/>
      </c>
      <c r="G104" s="21"/>
    </row>
    <row r="105" spans="2:7" x14ac:dyDescent="0.15">
      <c r="B105" s="19" t="str">
        <f>IF(データ入力!E101="","",データ入力!E101)</f>
        <v/>
      </c>
      <c r="C105" s="19" t="str">
        <f>IF(データ入力!G101="","",データ入力!G101)</f>
        <v/>
      </c>
      <c r="D105" s="20" t="str">
        <f t="shared" si="5"/>
        <v/>
      </c>
      <c r="E105" s="20" t="str">
        <f t="shared" si="6"/>
        <v/>
      </c>
      <c r="F105" s="20" t="str">
        <f t="shared" si="7"/>
        <v/>
      </c>
      <c r="G105" s="21"/>
    </row>
    <row r="106" spans="2:7" x14ac:dyDescent="0.15">
      <c r="B106" s="19" t="str">
        <f>IF(データ入力!E102="","",データ入力!E102)</f>
        <v/>
      </c>
      <c r="C106" s="19" t="str">
        <f>IF(データ入力!G102="","",データ入力!G102)</f>
        <v/>
      </c>
      <c r="D106" s="20" t="str">
        <f t="shared" si="5"/>
        <v/>
      </c>
      <c r="E106" s="20" t="str">
        <f t="shared" si="6"/>
        <v/>
      </c>
      <c r="F106" s="20" t="str">
        <f t="shared" si="7"/>
        <v/>
      </c>
      <c r="G106" s="21"/>
    </row>
    <row r="107" spans="2:7" x14ac:dyDescent="0.15">
      <c r="B107" s="19" t="str">
        <f>IF(データ入力!E103="","",データ入力!E103)</f>
        <v/>
      </c>
      <c r="C107" s="19" t="str">
        <f>IF(データ入力!G103="","",データ入力!G103)</f>
        <v/>
      </c>
      <c r="D107" s="20" t="str">
        <f t="shared" si="5"/>
        <v/>
      </c>
      <c r="E107" s="20" t="str">
        <f t="shared" si="6"/>
        <v/>
      </c>
      <c r="F107" s="20" t="str">
        <f t="shared" si="7"/>
        <v/>
      </c>
      <c r="G107" s="21"/>
    </row>
    <row r="108" spans="2:7" x14ac:dyDescent="0.15">
      <c r="B108" s="19" t="str">
        <f>IF(データ入力!E104="","",データ入力!E104)</f>
        <v/>
      </c>
      <c r="C108" s="19" t="str">
        <f>IF(データ入力!G104="","",データ入力!G104)</f>
        <v/>
      </c>
      <c r="D108" s="20" t="str">
        <f t="shared" si="5"/>
        <v/>
      </c>
      <c r="E108" s="20" t="str">
        <f t="shared" si="6"/>
        <v/>
      </c>
      <c r="F108" s="20" t="str">
        <f t="shared" si="7"/>
        <v/>
      </c>
      <c r="G108" s="21"/>
    </row>
    <row r="109" spans="2:7" x14ac:dyDescent="0.15">
      <c r="B109" s="19" t="str">
        <f>IF(データ入力!E105="","",データ入力!E105)</f>
        <v/>
      </c>
      <c r="C109" s="19" t="str">
        <f>IF(データ入力!G105="","",データ入力!G105)</f>
        <v/>
      </c>
      <c r="D109" s="20" t="str">
        <f t="shared" si="5"/>
        <v/>
      </c>
      <c r="E109" s="20" t="str">
        <f t="shared" si="6"/>
        <v/>
      </c>
      <c r="F109" s="20" t="str">
        <f t="shared" si="7"/>
        <v/>
      </c>
      <c r="G109" s="21"/>
    </row>
  </sheetData>
  <scenarios current="0">
    <scenario name="srgm_test" count="3" user="Tomi" comment="作成者 : Tomi 日付 : 8/19/2010">
      <inputCells r="C4" val="85.2303964347601"/>
      <inputCells r="C5" val="12.4553706530314"/>
      <inputCells r="C6" val="0.986959959300145"/>
    </scenario>
  </scenarios>
  <mergeCells count="2">
    <mergeCell ref="E4:F4"/>
    <mergeCell ref="E5:F5"/>
  </mergeCells>
  <phoneticPr fontId="2"/>
  <pageMargins left="0.75" right="0.75" top="1" bottom="1"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3074" r:id="rId4" name="CommandButton1">
          <controlPr defaultSize="0" autoLine="0" r:id="rId5">
            <anchor moveWithCells="1">
              <from>
                <xdr:col>6</xdr:col>
                <xdr:colOff>114300</xdr:colOff>
                <xdr:row>5</xdr:row>
                <xdr:rowOff>57150</xdr:rowOff>
              </from>
              <to>
                <xdr:col>6</xdr:col>
                <xdr:colOff>885825</xdr:colOff>
                <xdr:row>6</xdr:row>
                <xdr:rowOff>142875</xdr:rowOff>
              </to>
            </anchor>
          </controlPr>
        </control>
      </mc:Choice>
      <mc:Fallback>
        <control shapeId="3074" r:id="rId4"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1:Q109"/>
  <sheetViews>
    <sheetView zoomScaleNormal="100" workbookViewId="0"/>
  </sheetViews>
  <sheetFormatPr defaultRowHeight="13.5" x14ac:dyDescent="0.15"/>
  <cols>
    <col min="1" max="1" width="2.625" style="1" customWidth="1"/>
    <col min="2" max="7" width="13.25" style="1" customWidth="1"/>
    <col min="8" max="9" width="9.5" style="1" customWidth="1"/>
    <col min="10" max="10" width="3.375" style="1" customWidth="1"/>
    <col min="11" max="12" width="9.5" style="1" customWidth="1"/>
    <col min="13" max="16384" width="9" style="1"/>
  </cols>
  <sheetData>
    <row r="1" spans="2:17" x14ac:dyDescent="0.15">
      <c r="E1" s="1" t="s">
        <v>38</v>
      </c>
    </row>
    <row r="2" spans="2:17" x14ac:dyDescent="0.15">
      <c r="B2" s="1" t="s">
        <v>0</v>
      </c>
      <c r="C2" s="1" t="s">
        <v>31</v>
      </c>
      <c r="E2" s="4" t="s">
        <v>29</v>
      </c>
      <c r="F2" s="3">
        <f>MAX(D10:D109)/C4*100</f>
        <v>100</v>
      </c>
      <c r="Q2"/>
    </row>
    <row r="3" spans="2:17" x14ac:dyDescent="0.15">
      <c r="B3" s="1" t="s">
        <v>61</v>
      </c>
      <c r="C3" s="1">
        <v>3</v>
      </c>
      <c r="E3" s="4" t="s">
        <v>39</v>
      </c>
      <c r="F3" s="3">
        <f>C4-MAX(D10:D109)</f>
        <v>0</v>
      </c>
      <c r="H3" s="1" t="s">
        <v>7</v>
      </c>
      <c r="J3" s="5"/>
      <c r="K3" s="1" t="s">
        <v>8</v>
      </c>
      <c r="N3" s="5" t="s">
        <v>64</v>
      </c>
      <c r="O3" s="5"/>
    </row>
    <row r="4" spans="2:17" ht="14.25" thickBot="1" x14ac:dyDescent="0.2">
      <c r="B4" s="6" t="s">
        <v>26</v>
      </c>
      <c r="C4" s="3">
        <v>82.305502504593619</v>
      </c>
      <c r="E4" s="61" t="s">
        <v>6</v>
      </c>
      <c r="F4" s="62"/>
      <c r="H4" s="7">
        <v>0.95</v>
      </c>
      <c r="I4" s="8" t="s">
        <v>9</v>
      </c>
      <c r="J4" s="5"/>
      <c r="K4" s="9">
        <v>0.99</v>
      </c>
      <c r="L4" s="10" t="s">
        <v>9</v>
      </c>
      <c r="N4" s="15" t="s">
        <v>25</v>
      </c>
      <c r="O4" s="31">
        <f>C7*LN((2*3.14*E5/C7)+1)+2*(C3+1)</f>
        <v>84.447096210357543</v>
      </c>
    </row>
    <row r="5" spans="2:17" x14ac:dyDescent="0.15">
      <c r="B5" s="6" t="s">
        <v>27</v>
      </c>
      <c r="C5" s="3">
        <v>1074.2314476925922</v>
      </c>
      <c r="E5" s="63">
        <f>SUM(F10:F109)</f>
        <v>17995.694281102249</v>
      </c>
      <c r="F5" s="64"/>
      <c r="H5" s="23">
        <f>C4*0.95</f>
        <v>78.190227379363932</v>
      </c>
      <c r="I5" s="22">
        <f>LOG((LN(C4)-LN(H5))/C5, C6 )</f>
        <v>10.896954747640734</v>
      </c>
      <c r="J5" s="5"/>
      <c r="K5" s="22">
        <f>C4*0.99</f>
        <v>81.482447479547687</v>
      </c>
      <c r="L5" s="22">
        <f>LOG((LN(C4)-LN(K5))/C5, C6 )</f>
        <v>12.682113274650581</v>
      </c>
    </row>
    <row r="6" spans="2:17" x14ac:dyDescent="0.15">
      <c r="B6" s="6" t="s">
        <v>28</v>
      </c>
      <c r="C6" s="3">
        <v>0.40129502699837716</v>
      </c>
      <c r="E6" s="1" t="s">
        <v>10</v>
      </c>
      <c r="H6" s="1" t="s">
        <v>10</v>
      </c>
      <c r="J6" s="5"/>
      <c r="K6" s="1" t="s">
        <v>10</v>
      </c>
    </row>
    <row r="7" spans="2:17" x14ac:dyDescent="0.15">
      <c r="B7" s="14" t="s">
        <v>30</v>
      </c>
      <c r="C7" s="29">
        <f>COUNT(C10:C109)</f>
        <v>8</v>
      </c>
    </row>
    <row r="8" spans="2:17" x14ac:dyDescent="0.15">
      <c r="B8" s="15" t="s">
        <v>1</v>
      </c>
    </row>
    <row r="9" spans="2:17" ht="27.75" thickBot="1" x14ac:dyDescent="0.2">
      <c r="B9" s="16" t="s">
        <v>45</v>
      </c>
      <c r="C9" s="17" t="s">
        <v>3</v>
      </c>
      <c r="D9" s="17" t="s">
        <v>34</v>
      </c>
      <c r="E9" s="17" t="s">
        <v>4</v>
      </c>
      <c r="F9" s="25" t="s">
        <v>5</v>
      </c>
      <c r="G9" s="18"/>
    </row>
    <row r="10" spans="2:17" x14ac:dyDescent="0.15">
      <c r="B10" s="19">
        <f>IF(データ入力!E6="","",データ入力!E6)</f>
        <v>0</v>
      </c>
      <c r="C10" s="19">
        <f>IF(データ入力!G6="","",データ入力!G6)</f>
        <v>1</v>
      </c>
      <c r="D10" s="20">
        <f>IF(B10="","",IF(B10=0,$C$4*EXP(-$C$5*$C$6^(B10+0.001)),$C$4*EXP(-$C$5*$C$6^B10)))</f>
        <v>0</v>
      </c>
      <c r="E10" s="20">
        <f>IF(C10="","",C10-D10)</f>
        <v>1</v>
      </c>
      <c r="F10" s="26">
        <f t="shared" ref="F10:F73" si="0">IF(E10="","",E10^2)</f>
        <v>1</v>
      </c>
      <c r="G10" s="21"/>
    </row>
    <row r="11" spans="2:17" x14ac:dyDescent="0.15">
      <c r="B11" s="19">
        <f>IF(データ入力!E7="","",データ入力!E7)</f>
        <v>7</v>
      </c>
      <c r="C11" s="19">
        <f>IF(データ入力!G7="","",データ入力!G7)</f>
        <v>67</v>
      </c>
      <c r="D11" s="20">
        <f t="shared" ref="D11:D74" si="1">IF(B11="","",IF(B11=0,$C$4*EXP(-$C$5*$C$6^(B11+0.001)),$C$4*EXP(-$C$5*$C$6^B11)))</f>
        <v>13.600959570093513</v>
      </c>
      <c r="E11" s="20">
        <f>IF(C11="","",C11-D11)</f>
        <v>53.399040429906485</v>
      </c>
      <c r="F11" s="26">
        <f t="shared" si="0"/>
        <v>2851.4575188347872</v>
      </c>
      <c r="G11" s="21"/>
    </row>
    <row r="12" spans="2:17" x14ac:dyDescent="0.15">
      <c r="B12" s="19">
        <f>IF(データ入力!E8="","",データ入力!E8)</f>
        <v>14</v>
      </c>
      <c r="C12" s="19">
        <f>IF(データ入力!G8="","",データ入力!G8)</f>
        <v>81</v>
      </c>
      <c r="D12" s="20">
        <f t="shared" si="1"/>
        <v>82.057552208903644</v>
      </c>
      <c r="E12" s="20">
        <f t="shared" ref="E12:E75" si="2">IF(C12="","",C12-D12)</f>
        <v>-1.057552208903644</v>
      </c>
      <c r="F12" s="26">
        <f t="shared" si="0"/>
        <v>1.1184166745569766</v>
      </c>
      <c r="G12" s="21"/>
    </row>
    <row r="13" spans="2:17" x14ac:dyDescent="0.15">
      <c r="B13" s="19">
        <f>IF(データ入力!E9="","",データ入力!E9)</f>
        <v>21</v>
      </c>
      <c r="C13" s="19">
        <f>IF(データ入力!G9="","",データ入力!G9)</f>
        <v>99</v>
      </c>
      <c r="D13" s="20">
        <f t="shared" si="1"/>
        <v>82.305086340152826</v>
      </c>
      <c r="E13" s="20">
        <f t="shared" si="2"/>
        <v>16.694913659847174</v>
      </c>
      <c r="F13" s="26">
        <f t="shared" si="0"/>
        <v>278.72014210975175</v>
      </c>
      <c r="G13" s="21"/>
    </row>
    <row r="14" spans="2:17" x14ac:dyDescent="0.15">
      <c r="B14" s="19">
        <f>IF(データ入力!E10="","",データ入力!E10)</f>
        <v>28</v>
      </c>
      <c r="C14" s="19">
        <f>IF(データ入力!G10="","",データ入力!G10)</f>
        <v>117</v>
      </c>
      <c r="D14" s="20">
        <f t="shared" si="1"/>
        <v>82.305501807144537</v>
      </c>
      <c r="E14" s="20">
        <f t="shared" si="2"/>
        <v>34.694498192855463</v>
      </c>
      <c r="F14" s="26">
        <f t="shared" si="0"/>
        <v>1203.708204854051</v>
      </c>
      <c r="G14" s="21"/>
    </row>
    <row r="15" spans="2:17" x14ac:dyDescent="0.15">
      <c r="B15" s="19">
        <f>IF(データ入力!E11="","",データ入力!E11)</f>
        <v>35</v>
      </c>
      <c r="C15" s="19">
        <f>IF(データ入力!G11="","",データ入力!G11)</f>
        <v>132</v>
      </c>
      <c r="D15" s="20">
        <f t="shared" si="1"/>
        <v>82.305502503424762</v>
      </c>
      <c r="E15" s="20">
        <f t="shared" si="2"/>
        <v>49.694497496575238</v>
      </c>
      <c r="F15" s="26">
        <f t="shared" si="0"/>
        <v>2469.5430814371225</v>
      </c>
      <c r="G15" s="21"/>
    </row>
    <row r="16" spans="2:17" x14ac:dyDescent="0.15">
      <c r="B16" s="19">
        <f>IF(データ入力!E12="","",データ入力!E12)</f>
        <v>42</v>
      </c>
      <c r="C16" s="19">
        <f>IF(データ入力!G12="","",データ入力!G12)</f>
        <v>147</v>
      </c>
      <c r="D16" s="20">
        <f t="shared" si="1"/>
        <v>82.305502504591658</v>
      </c>
      <c r="E16" s="20">
        <f t="shared" si="2"/>
        <v>64.694497495408342</v>
      </c>
      <c r="F16" s="26">
        <f t="shared" si="0"/>
        <v>4185.3780061833959</v>
      </c>
      <c r="G16" s="21"/>
    </row>
    <row r="17" spans="2:7" x14ac:dyDescent="0.15">
      <c r="B17" s="19">
        <f>IF(データ入力!E13="","",データ入力!E13)</f>
        <v>49</v>
      </c>
      <c r="C17" s="19">
        <f>IF(データ入力!G13="","",データ入力!G13)</f>
        <v>166</v>
      </c>
      <c r="D17" s="20">
        <f t="shared" si="1"/>
        <v>82.305502504593619</v>
      </c>
      <c r="E17" s="20">
        <f t="shared" si="2"/>
        <v>83.694497495406381</v>
      </c>
      <c r="F17" s="26">
        <f t="shared" si="0"/>
        <v>7004.7689110085848</v>
      </c>
      <c r="G17" s="21"/>
    </row>
    <row r="18" spans="2:7" x14ac:dyDescent="0.15">
      <c r="B18" s="19" t="str">
        <f>IF(データ入力!E14="","",データ入力!E14)</f>
        <v/>
      </c>
      <c r="C18" s="19" t="str">
        <f>IF(データ入力!G14="","",データ入力!G14)</f>
        <v/>
      </c>
      <c r="D18" s="20" t="str">
        <f t="shared" si="1"/>
        <v/>
      </c>
      <c r="E18" s="20" t="str">
        <f t="shared" si="2"/>
        <v/>
      </c>
      <c r="F18" s="26" t="str">
        <f t="shared" si="0"/>
        <v/>
      </c>
      <c r="G18" s="21"/>
    </row>
    <row r="19" spans="2:7" x14ac:dyDescent="0.15">
      <c r="B19" s="19" t="str">
        <f>IF(データ入力!E15="","",データ入力!E15)</f>
        <v/>
      </c>
      <c r="C19" s="19" t="str">
        <f>IF(データ入力!G15="","",データ入力!G15)</f>
        <v/>
      </c>
      <c r="D19" s="20" t="str">
        <f t="shared" si="1"/>
        <v/>
      </c>
      <c r="E19" s="20" t="str">
        <f t="shared" si="2"/>
        <v/>
      </c>
      <c r="F19" s="26" t="str">
        <f t="shared" si="0"/>
        <v/>
      </c>
      <c r="G19" s="21"/>
    </row>
    <row r="20" spans="2:7" x14ac:dyDescent="0.15">
      <c r="B20" s="19" t="str">
        <f>IF(データ入力!E16="","",データ入力!E16)</f>
        <v/>
      </c>
      <c r="C20" s="19" t="str">
        <f>IF(データ入力!G16="","",データ入力!G16)</f>
        <v/>
      </c>
      <c r="D20" s="20" t="str">
        <f t="shared" si="1"/>
        <v/>
      </c>
      <c r="E20" s="20" t="str">
        <f t="shared" si="2"/>
        <v/>
      </c>
      <c r="F20" s="26" t="str">
        <f t="shared" si="0"/>
        <v/>
      </c>
      <c r="G20" s="21"/>
    </row>
    <row r="21" spans="2:7" x14ac:dyDescent="0.15">
      <c r="B21" s="19" t="str">
        <f>IF(データ入力!E17="","",データ入力!E17)</f>
        <v/>
      </c>
      <c r="C21" s="19" t="str">
        <f>IF(データ入力!G17="","",データ入力!G17)</f>
        <v/>
      </c>
      <c r="D21" s="20" t="str">
        <f t="shared" si="1"/>
        <v/>
      </c>
      <c r="E21" s="20" t="str">
        <f t="shared" si="2"/>
        <v/>
      </c>
      <c r="F21" s="26" t="str">
        <f t="shared" si="0"/>
        <v/>
      </c>
      <c r="G21" s="21"/>
    </row>
    <row r="22" spans="2:7" x14ac:dyDescent="0.15">
      <c r="B22" s="19" t="str">
        <f>IF(データ入力!E18="","",データ入力!E18)</f>
        <v/>
      </c>
      <c r="C22" s="19" t="str">
        <f>IF(データ入力!G18="","",データ入力!G18)</f>
        <v/>
      </c>
      <c r="D22" s="20" t="str">
        <f t="shared" si="1"/>
        <v/>
      </c>
      <c r="E22" s="20" t="str">
        <f t="shared" si="2"/>
        <v/>
      </c>
      <c r="F22" s="26" t="str">
        <f t="shared" si="0"/>
        <v/>
      </c>
      <c r="G22" s="21"/>
    </row>
    <row r="23" spans="2:7" x14ac:dyDescent="0.15">
      <c r="B23" s="19" t="str">
        <f>IF(データ入力!E19="","",データ入力!E19)</f>
        <v/>
      </c>
      <c r="C23" s="19" t="str">
        <f>IF(データ入力!G19="","",データ入力!G19)</f>
        <v/>
      </c>
      <c r="D23" s="20" t="str">
        <f t="shared" si="1"/>
        <v/>
      </c>
      <c r="E23" s="20" t="str">
        <f t="shared" si="2"/>
        <v/>
      </c>
      <c r="F23" s="26" t="str">
        <f t="shared" si="0"/>
        <v/>
      </c>
      <c r="G23" s="21"/>
    </row>
    <row r="24" spans="2:7" x14ac:dyDescent="0.15">
      <c r="B24" s="19" t="str">
        <f>IF(データ入力!E20="","",データ入力!E20)</f>
        <v/>
      </c>
      <c r="C24" s="19" t="str">
        <f>IF(データ入力!G20="","",データ入力!G20)</f>
        <v/>
      </c>
      <c r="D24" s="20" t="str">
        <f t="shared" si="1"/>
        <v/>
      </c>
      <c r="E24" s="20" t="str">
        <f t="shared" si="2"/>
        <v/>
      </c>
      <c r="F24" s="26" t="str">
        <f t="shared" si="0"/>
        <v/>
      </c>
      <c r="G24" s="21"/>
    </row>
    <row r="25" spans="2:7" x14ac:dyDescent="0.15">
      <c r="B25" s="19" t="str">
        <f>IF(データ入力!E21="","",データ入力!E21)</f>
        <v/>
      </c>
      <c r="C25" s="19" t="str">
        <f>IF(データ入力!G21="","",データ入力!G21)</f>
        <v/>
      </c>
      <c r="D25" s="20" t="str">
        <f t="shared" si="1"/>
        <v/>
      </c>
      <c r="E25" s="20" t="str">
        <f t="shared" si="2"/>
        <v/>
      </c>
      <c r="F25" s="26" t="str">
        <f t="shared" si="0"/>
        <v/>
      </c>
      <c r="G25" s="21"/>
    </row>
    <row r="26" spans="2:7" x14ac:dyDescent="0.15">
      <c r="B26" s="19" t="str">
        <f>IF(データ入力!E22="","",データ入力!E22)</f>
        <v/>
      </c>
      <c r="C26" s="19" t="str">
        <f>IF(データ入力!G22="","",データ入力!G22)</f>
        <v/>
      </c>
      <c r="D26" s="20" t="str">
        <f t="shared" si="1"/>
        <v/>
      </c>
      <c r="E26" s="20" t="str">
        <f t="shared" si="2"/>
        <v/>
      </c>
      <c r="F26" s="26" t="str">
        <f t="shared" si="0"/>
        <v/>
      </c>
      <c r="G26" s="21"/>
    </row>
    <row r="27" spans="2:7" x14ac:dyDescent="0.15">
      <c r="B27" s="19" t="str">
        <f>IF(データ入力!E23="","",データ入力!E23)</f>
        <v/>
      </c>
      <c r="C27" s="19" t="str">
        <f>IF(データ入力!G23="","",データ入力!G23)</f>
        <v/>
      </c>
      <c r="D27" s="20" t="str">
        <f t="shared" si="1"/>
        <v/>
      </c>
      <c r="E27" s="20" t="str">
        <f t="shared" si="2"/>
        <v/>
      </c>
      <c r="F27" s="26" t="str">
        <f t="shared" si="0"/>
        <v/>
      </c>
      <c r="G27" s="21"/>
    </row>
    <row r="28" spans="2:7" x14ac:dyDescent="0.15">
      <c r="B28" s="19" t="str">
        <f>IF(データ入力!E24="","",データ入力!E24)</f>
        <v/>
      </c>
      <c r="C28" s="19" t="str">
        <f>IF(データ入力!G24="","",データ入力!G24)</f>
        <v/>
      </c>
      <c r="D28" s="20" t="str">
        <f t="shared" si="1"/>
        <v/>
      </c>
      <c r="E28" s="20" t="str">
        <f t="shared" si="2"/>
        <v/>
      </c>
      <c r="F28" s="26" t="str">
        <f t="shared" si="0"/>
        <v/>
      </c>
      <c r="G28" s="21"/>
    </row>
    <row r="29" spans="2:7" x14ac:dyDescent="0.15">
      <c r="B29" s="19" t="str">
        <f>IF(データ入力!E25="","",データ入力!E25)</f>
        <v/>
      </c>
      <c r="C29" s="19" t="str">
        <f>IF(データ入力!G25="","",データ入力!G25)</f>
        <v/>
      </c>
      <c r="D29" s="20" t="str">
        <f t="shared" si="1"/>
        <v/>
      </c>
      <c r="E29" s="20" t="str">
        <f t="shared" si="2"/>
        <v/>
      </c>
      <c r="F29" s="26" t="str">
        <f t="shared" si="0"/>
        <v/>
      </c>
      <c r="G29" s="21"/>
    </row>
    <row r="30" spans="2:7" x14ac:dyDescent="0.15">
      <c r="B30" s="19" t="str">
        <f>IF(データ入力!E26="","",データ入力!E26)</f>
        <v/>
      </c>
      <c r="C30" s="19" t="str">
        <f>IF(データ入力!G26="","",データ入力!G26)</f>
        <v/>
      </c>
      <c r="D30" s="20" t="str">
        <f t="shared" si="1"/>
        <v/>
      </c>
      <c r="E30" s="20" t="str">
        <f t="shared" si="2"/>
        <v/>
      </c>
      <c r="F30" s="26" t="str">
        <f t="shared" si="0"/>
        <v/>
      </c>
      <c r="G30" s="21"/>
    </row>
    <row r="31" spans="2:7" x14ac:dyDescent="0.15">
      <c r="B31" s="19" t="str">
        <f>IF(データ入力!E27="","",データ入力!E27)</f>
        <v/>
      </c>
      <c r="C31" s="19" t="str">
        <f>IF(データ入力!G27="","",データ入力!G27)</f>
        <v/>
      </c>
      <c r="D31" s="20" t="str">
        <f t="shared" si="1"/>
        <v/>
      </c>
      <c r="E31" s="20" t="str">
        <f t="shared" si="2"/>
        <v/>
      </c>
      <c r="F31" s="26" t="str">
        <f t="shared" si="0"/>
        <v/>
      </c>
      <c r="G31" s="21"/>
    </row>
    <row r="32" spans="2:7" x14ac:dyDescent="0.15">
      <c r="B32" s="19" t="str">
        <f>IF(データ入力!E28="","",データ入力!E28)</f>
        <v/>
      </c>
      <c r="C32" s="19" t="str">
        <f>IF(データ入力!G28="","",データ入力!G28)</f>
        <v/>
      </c>
      <c r="D32" s="20" t="str">
        <f t="shared" si="1"/>
        <v/>
      </c>
      <c r="E32" s="20" t="str">
        <f t="shared" si="2"/>
        <v/>
      </c>
      <c r="F32" s="26" t="str">
        <f t="shared" si="0"/>
        <v/>
      </c>
      <c r="G32" s="21"/>
    </row>
    <row r="33" spans="2:9" x14ac:dyDescent="0.15">
      <c r="B33" s="19" t="str">
        <f>IF(データ入力!E29="","",データ入力!E29)</f>
        <v/>
      </c>
      <c r="C33" s="19" t="str">
        <f>IF(データ入力!G29="","",データ入力!G29)</f>
        <v/>
      </c>
      <c r="D33" s="20" t="str">
        <f t="shared" si="1"/>
        <v/>
      </c>
      <c r="E33" s="20" t="str">
        <f t="shared" si="2"/>
        <v/>
      </c>
      <c r="F33" s="26" t="str">
        <f t="shared" si="0"/>
        <v/>
      </c>
      <c r="G33" s="21"/>
    </row>
    <row r="34" spans="2:9" x14ac:dyDescent="0.15">
      <c r="B34" s="19" t="str">
        <f>IF(データ入力!E30="","",データ入力!E30)</f>
        <v/>
      </c>
      <c r="C34" s="19" t="str">
        <f>IF(データ入力!G30="","",データ入力!G30)</f>
        <v/>
      </c>
      <c r="D34" s="20" t="str">
        <f t="shared" si="1"/>
        <v/>
      </c>
      <c r="E34" s="20" t="str">
        <f t="shared" si="2"/>
        <v/>
      </c>
      <c r="F34" s="26" t="str">
        <f t="shared" si="0"/>
        <v/>
      </c>
      <c r="G34" s="21"/>
      <c r="H34" s="1" t="s">
        <v>37</v>
      </c>
    </row>
    <row r="35" spans="2:9" x14ac:dyDescent="0.15">
      <c r="B35" s="19" t="str">
        <f>IF(データ入力!E31="","",データ入力!E31)</f>
        <v/>
      </c>
      <c r="C35" s="19" t="str">
        <f>IF(データ入力!G31="","",データ入力!G31)</f>
        <v/>
      </c>
      <c r="D35" s="20" t="str">
        <f t="shared" si="1"/>
        <v/>
      </c>
      <c r="E35" s="20" t="str">
        <f t="shared" si="2"/>
        <v/>
      </c>
      <c r="F35" s="26" t="str">
        <f t="shared" si="0"/>
        <v/>
      </c>
      <c r="G35" s="21"/>
      <c r="H35" s="1" t="s">
        <v>35</v>
      </c>
    </row>
    <row r="36" spans="2:9" x14ac:dyDescent="0.15">
      <c r="B36" s="19" t="str">
        <f>IF(データ入力!E32="","",データ入力!E32)</f>
        <v/>
      </c>
      <c r="C36" s="19" t="str">
        <f>IF(データ入力!G32="","",データ入力!G32)</f>
        <v/>
      </c>
      <c r="D36" s="20" t="str">
        <f t="shared" si="1"/>
        <v/>
      </c>
      <c r="E36" s="20" t="str">
        <f t="shared" si="2"/>
        <v/>
      </c>
      <c r="F36" s="26" t="str">
        <f t="shared" si="0"/>
        <v/>
      </c>
      <c r="G36" s="21"/>
      <c r="H36" s="2">
        <v>0</v>
      </c>
      <c r="I36" s="3">
        <f>$H$5</f>
        <v>78.190227379363932</v>
      </c>
    </row>
    <row r="37" spans="2:9" x14ac:dyDescent="0.15">
      <c r="B37" s="19" t="str">
        <f>IF(データ入力!E33="","",データ入力!E33)</f>
        <v/>
      </c>
      <c r="C37" s="19" t="str">
        <f>IF(データ入力!G33="","",データ入力!G33)</f>
        <v/>
      </c>
      <c r="D37" s="20" t="str">
        <f t="shared" si="1"/>
        <v/>
      </c>
      <c r="E37" s="20" t="str">
        <f t="shared" si="2"/>
        <v/>
      </c>
      <c r="F37" s="26" t="str">
        <f t="shared" si="0"/>
        <v/>
      </c>
      <c r="G37" s="21"/>
      <c r="H37" s="2">
        <f>MAX(B10:B109)</f>
        <v>49</v>
      </c>
      <c r="I37" s="3">
        <f>$H$5</f>
        <v>78.190227379363932</v>
      </c>
    </row>
    <row r="38" spans="2:9" x14ac:dyDescent="0.15">
      <c r="B38" s="19" t="str">
        <f>IF(データ入力!E34="","",データ入力!E34)</f>
        <v/>
      </c>
      <c r="C38" s="19" t="str">
        <f>IF(データ入力!G34="","",データ入力!G34)</f>
        <v/>
      </c>
      <c r="D38" s="20" t="str">
        <f t="shared" si="1"/>
        <v/>
      </c>
      <c r="E38" s="20" t="str">
        <f t="shared" si="2"/>
        <v/>
      </c>
      <c r="F38" s="26" t="str">
        <f t="shared" si="0"/>
        <v/>
      </c>
      <c r="G38" s="21"/>
      <c r="H38" s="1" t="s">
        <v>36</v>
      </c>
    </row>
    <row r="39" spans="2:9" x14ac:dyDescent="0.15">
      <c r="B39" s="19" t="str">
        <f>IF(データ入力!E35="","",データ入力!E35)</f>
        <v/>
      </c>
      <c r="C39" s="19" t="str">
        <f>IF(データ入力!G35="","",データ入力!G35)</f>
        <v/>
      </c>
      <c r="D39" s="20" t="str">
        <f t="shared" si="1"/>
        <v/>
      </c>
      <c r="E39" s="20" t="str">
        <f t="shared" si="2"/>
        <v/>
      </c>
      <c r="F39" s="26" t="str">
        <f t="shared" si="0"/>
        <v/>
      </c>
      <c r="G39" s="21"/>
      <c r="H39" s="2">
        <v>0</v>
      </c>
      <c r="I39" s="3">
        <f>$K$5</f>
        <v>81.482447479547687</v>
      </c>
    </row>
    <row r="40" spans="2:9" x14ac:dyDescent="0.15">
      <c r="B40" s="19" t="str">
        <f>IF(データ入力!E36="","",データ入力!E36)</f>
        <v/>
      </c>
      <c r="C40" s="19" t="str">
        <f>IF(データ入力!G36="","",データ入力!G36)</f>
        <v/>
      </c>
      <c r="D40" s="20" t="str">
        <f t="shared" si="1"/>
        <v/>
      </c>
      <c r="E40" s="20" t="str">
        <f t="shared" si="2"/>
        <v/>
      </c>
      <c r="F40" s="26" t="str">
        <f t="shared" si="0"/>
        <v/>
      </c>
      <c r="G40" s="21"/>
      <c r="H40" s="2">
        <f>MAX(B10:B109)</f>
        <v>49</v>
      </c>
      <c r="I40" s="3">
        <f>$K$5</f>
        <v>81.482447479547687</v>
      </c>
    </row>
    <row r="41" spans="2:9" x14ac:dyDescent="0.15">
      <c r="B41" s="19" t="str">
        <f>IF(データ入力!E37="","",データ入力!E37)</f>
        <v/>
      </c>
      <c r="C41" s="19" t="str">
        <f>IF(データ入力!G37="","",データ入力!G37)</f>
        <v/>
      </c>
      <c r="D41" s="20" t="str">
        <f t="shared" si="1"/>
        <v/>
      </c>
      <c r="E41" s="20" t="str">
        <f t="shared" si="2"/>
        <v/>
      </c>
      <c r="F41" s="26" t="str">
        <f t="shared" si="0"/>
        <v/>
      </c>
      <c r="G41" s="21"/>
    </row>
    <row r="42" spans="2:9" x14ac:dyDescent="0.15">
      <c r="B42" s="19" t="str">
        <f>IF(データ入力!E38="","",データ入力!E38)</f>
        <v/>
      </c>
      <c r="C42" s="19" t="str">
        <f>IF(データ入力!G38="","",データ入力!G38)</f>
        <v/>
      </c>
      <c r="D42" s="20" t="str">
        <f t="shared" si="1"/>
        <v/>
      </c>
      <c r="E42" s="20" t="str">
        <f t="shared" si="2"/>
        <v/>
      </c>
      <c r="F42" s="26" t="str">
        <f t="shared" si="0"/>
        <v/>
      </c>
      <c r="G42" s="21"/>
    </row>
    <row r="43" spans="2:9" x14ac:dyDescent="0.15">
      <c r="B43" s="19" t="str">
        <f>IF(データ入力!E39="","",データ入力!E39)</f>
        <v/>
      </c>
      <c r="C43" s="19" t="str">
        <f>IF(データ入力!G39="","",データ入力!G39)</f>
        <v/>
      </c>
      <c r="D43" s="20" t="str">
        <f t="shared" si="1"/>
        <v/>
      </c>
      <c r="E43" s="20" t="str">
        <f t="shared" si="2"/>
        <v/>
      </c>
      <c r="F43" s="26" t="str">
        <f t="shared" si="0"/>
        <v/>
      </c>
      <c r="G43" s="21"/>
    </row>
    <row r="44" spans="2:9" x14ac:dyDescent="0.15">
      <c r="B44" s="19" t="str">
        <f>IF(データ入力!E40="","",データ入力!E40)</f>
        <v/>
      </c>
      <c r="C44" s="19" t="str">
        <f>IF(データ入力!G40="","",データ入力!G40)</f>
        <v/>
      </c>
      <c r="D44" s="20" t="str">
        <f t="shared" si="1"/>
        <v/>
      </c>
      <c r="E44" s="20" t="str">
        <f t="shared" si="2"/>
        <v/>
      </c>
      <c r="F44" s="26" t="str">
        <f t="shared" si="0"/>
        <v/>
      </c>
      <c r="G44" s="21"/>
    </row>
    <row r="45" spans="2:9" x14ac:dyDescent="0.15">
      <c r="B45" s="19" t="str">
        <f>IF(データ入力!E41="","",データ入力!E41)</f>
        <v/>
      </c>
      <c r="C45" s="19" t="str">
        <f>IF(データ入力!G41="","",データ入力!G41)</f>
        <v/>
      </c>
      <c r="D45" s="20" t="str">
        <f t="shared" si="1"/>
        <v/>
      </c>
      <c r="E45" s="20" t="str">
        <f t="shared" si="2"/>
        <v/>
      </c>
      <c r="F45" s="26" t="str">
        <f t="shared" si="0"/>
        <v/>
      </c>
      <c r="G45" s="21"/>
    </row>
    <row r="46" spans="2:9" x14ac:dyDescent="0.15">
      <c r="B46" s="19" t="str">
        <f>IF(データ入力!E42="","",データ入力!E42)</f>
        <v/>
      </c>
      <c r="C46" s="19" t="str">
        <f>IF(データ入力!G42="","",データ入力!G42)</f>
        <v/>
      </c>
      <c r="D46" s="20" t="str">
        <f t="shared" si="1"/>
        <v/>
      </c>
      <c r="E46" s="20" t="str">
        <f t="shared" si="2"/>
        <v/>
      </c>
      <c r="F46" s="26" t="str">
        <f t="shared" si="0"/>
        <v/>
      </c>
      <c r="G46" s="21"/>
    </row>
    <row r="47" spans="2:9" x14ac:dyDescent="0.15">
      <c r="B47" s="19" t="str">
        <f>IF(データ入力!E43="","",データ入力!E43)</f>
        <v/>
      </c>
      <c r="C47" s="19" t="str">
        <f>IF(データ入力!G43="","",データ入力!G43)</f>
        <v/>
      </c>
      <c r="D47" s="20" t="str">
        <f t="shared" si="1"/>
        <v/>
      </c>
      <c r="E47" s="20" t="str">
        <f t="shared" si="2"/>
        <v/>
      </c>
      <c r="F47" s="26" t="str">
        <f t="shared" si="0"/>
        <v/>
      </c>
      <c r="G47" s="21"/>
    </row>
    <row r="48" spans="2:9" x14ac:dyDescent="0.15">
      <c r="B48" s="19" t="str">
        <f>IF(データ入力!E44="","",データ入力!E44)</f>
        <v/>
      </c>
      <c r="C48" s="19" t="str">
        <f>IF(データ入力!G44="","",データ入力!G44)</f>
        <v/>
      </c>
      <c r="D48" s="20" t="str">
        <f t="shared" si="1"/>
        <v/>
      </c>
      <c r="E48" s="20" t="str">
        <f t="shared" si="2"/>
        <v/>
      </c>
      <c r="F48" s="26" t="str">
        <f t="shared" si="0"/>
        <v/>
      </c>
      <c r="G48" s="21"/>
    </row>
    <row r="49" spans="2:7" x14ac:dyDescent="0.15">
      <c r="B49" s="19" t="str">
        <f>IF(データ入力!E45="","",データ入力!E45)</f>
        <v/>
      </c>
      <c r="C49" s="19" t="str">
        <f>IF(データ入力!G45="","",データ入力!G45)</f>
        <v/>
      </c>
      <c r="D49" s="20" t="str">
        <f t="shared" si="1"/>
        <v/>
      </c>
      <c r="E49" s="20" t="str">
        <f t="shared" si="2"/>
        <v/>
      </c>
      <c r="F49" s="26" t="str">
        <f t="shared" si="0"/>
        <v/>
      </c>
      <c r="G49" s="21"/>
    </row>
    <row r="50" spans="2:7" x14ac:dyDescent="0.15">
      <c r="B50" s="19" t="str">
        <f>IF(データ入力!E46="","",データ入力!E46)</f>
        <v/>
      </c>
      <c r="C50" s="19" t="str">
        <f>IF(データ入力!G46="","",データ入力!G46)</f>
        <v/>
      </c>
      <c r="D50" s="20" t="str">
        <f t="shared" si="1"/>
        <v/>
      </c>
      <c r="E50" s="20" t="str">
        <f t="shared" si="2"/>
        <v/>
      </c>
      <c r="F50" s="26" t="str">
        <f t="shared" si="0"/>
        <v/>
      </c>
      <c r="G50" s="21"/>
    </row>
    <row r="51" spans="2:7" x14ac:dyDescent="0.15">
      <c r="B51" s="19" t="str">
        <f>IF(データ入力!E47="","",データ入力!E47)</f>
        <v/>
      </c>
      <c r="C51" s="19" t="str">
        <f>IF(データ入力!G47="","",データ入力!G47)</f>
        <v/>
      </c>
      <c r="D51" s="20" t="str">
        <f t="shared" si="1"/>
        <v/>
      </c>
      <c r="E51" s="20" t="str">
        <f t="shared" si="2"/>
        <v/>
      </c>
      <c r="F51" s="26" t="str">
        <f t="shared" si="0"/>
        <v/>
      </c>
      <c r="G51" s="21"/>
    </row>
    <row r="52" spans="2:7" x14ac:dyDescent="0.15">
      <c r="B52" s="19" t="str">
        <f>IF(データ入力!E48="","",データ入力!E48)</f>
        <v/>
      </c>
      <c r="C52" s="19" t="str">
        <f>IF(データ入力!G48="","",データ入力!G48)</f>
        <v/>
      </c>
      <c r="D52" s="20" t="str">
        <f t="shared" si="1"/>
        <v/>
      </c>
      <c r="E52" s="20" t="str">
        <f t="shared" si="2"/>
        <v/>
      </c>
      <c r="F52" s="26" t="str">
        <f t="shared" si="0"/>
        <v/>
      </c>
      <c r="G52" s="21"/>
    </row>
    <row r="53" spans="2:7" x14ac:dyDescent="0.15">
      <c r="B53" s="19" t="str">
        <f>IF(データ入力!E49="","",データ入力!E49)</f>
        <v/>
      </c>
      <c r="C53" s="19" t="str">
        <f>IF(データ入力!G49="","",データ入力!G49)</f>
        <v/>
      </c>
      <c r="D53" s="20" t="str">
        <f t="shared" si="1"/>
        <v/>
      </c>
      <c r="E53" s="20" t="str">
        <f t="shared" si="2"/>
        <v/>
      </c>
      <c r="F53" s="26" t="str">
        <f t="shared" si="0"/>
        <v/>
      </c>
      <c r="G53" s="21"/>
    </row>
    <row r="54" spans="2:7" x14ac:dyDescent="0.15">
      <c r="B54" s="19" t="str">
        <f>IF(データ入力!E50="","",データ入力!E50)</f>
        <v/>
      </c>
      <c r="C54" s="19" t="str">
        <f>IF(データ入力!G50="","",データ入力!G50)</f>
        <v/>
      </c>
      <c r="D54" s="20" t="str">
        <f t="shared" si="1"/>
        <v/>
      </c>
      <c r="E54" s="20" t="str">
        <f t="shared" si="2"/>
        <v/>
      </c>
      <c r="F54" s="26" t="str">
        <f t="shared" si="0"/>
        <v/>
      </c>
      <c r="G54" s="21"/>
    </row>
    <row r="55" spans="2:7" x14ac:dyDescent="0.15">
      <c r="B55" s="19" t="str">
        <f>IF(データ入力!E51="","",データ入力!E51)</f>
        <v/>
      </c>
      <c r="C55" s="19" t="str">
        <f>IF(データ入力!G51="","",データ入力!G51)</f>
        <v/>
      </c>
      <c r="D55" s="20" t="str">
        <f t="shared" si="1"/>
        <v/>
      </c>
      <c r="E55" s="20" t="str">
        <f t="shared" si="2"/>
        <v/>
      </c>
      <c r="F55" s="26" t="str">
        <f t="shared" si="0"/>
        <v/>
      </c>
      <c r="G55" s="21"/>
    </row>
    <row r="56" spans="2:7" x14ac:dyDescent="0.15">
      <c r="B56" s="19" t="str">
        <f>IF(データ入力!E52="","",データ入力!E52)</f>
        <v/>
      </c>
      <c r="C56" s="19" t="str">
        <f>IF(データ入力!G52="","",データ入力!G52)</f>
        <v/>
      </c>
      <c r="D56" s="20" t="str">
        <f t="shared" si="1"/>
        <v/>
      </c>
      <c r="E56" s="20" t="str">
        <f t="shared" si="2"/>
        <v/>
      </c>
      <c r="F56" s="26" t="str">
        <f t="shared" si="0"/>
        <v/>
      </c>
      <c r="G56" s="21"/>
    </row>
    <row r="57" spans="2:7" x14ac:dyDescent="0.15">
      <c r="B57" s="19" t="str">
        <f>IF(データ入力!E53="","",データ入力!E53)</f>
        <v/>
      </c>
      <c r="C57" s="19" t="str">
        <f>IF(データ入力!G53="","",データ入力!G53)</f>
        <v/>
      </c>
      <c r="D57" s="20" t="str">
        <f t="shared" si="1"/>
        <v/>
      </c>
      <c r="E57" s="20" t="str">
        <f t="shared" si="2"/>
        <v/>
      </c>
      <c r="F57" s="26" t="str">
        <f t="shared" si="0"/>
        <v/>
      </c>
      <c r="G57" s="21"/>
    </row>
    <row r="58" spans="2:7" x14ac:dyDescent="0.15">
      <c r="B58" s="19" t="str">
        <f>IF(データ入力!E54="","",データ入力!E54)</f>
        <v/>
      </c>
      <c r="C58" s="19" t="str">
        <f>IF(データ入力!G54="","",データ入力!G54)</f>
        <v/>
      </c>
      <c r="D58" s="20" t="str">
        <f t="shared" si="1"/>
        <v/>
      </c>
      <c r="E58" s="20" t="str">
        <f t="shared" si="2"/>
        <v/>
      </c>
      <c r="F58" s="26" t="str">
        <f t="shared" si="0"/>
        <v/>
      </c>
      <c r="G58" s="21"/>
    </row>
    <row r="59" spans="2:7" x14ac:dyDescent="0.15">
      <c r="B59" s="19" t="str">
        <f>IF(データ入力!E55="","",データ入力!E55)</f>
        <v/>
      </c>
      <c r="C59" s="19" t="str">
        <f>IF(データ入力!G55="","",データ入力!G55)</f>
        <v/>
      </c>
      <c r="D59" s="20" t="str">
        <f t="shared" si="1"/>
        <v/>
      </c>
      <c r="E59" s="20" t="str">
        <f t="shared" si="2"/>
        <v/>
      </c>
      <c r="F59" s="26" t="str">
        <f t="shared" si="0"/>
        <v/>
      </c>
      <c r="G59" s="21"/>
    </row>
    <row r="60" spans="2:7" x14ac:dyDescent="0.15">
      <c r="B60" s="19" t="str">
        <f>IF(データ入力!E56="","",データ入力!E56)</f>
        <v/>
      </c>
      <c r="C60" s="19" t="str">
        <f>IF(データ入力!G56="","",データ入力!G56)</f>
        <v/>
      </c>
      <c r="D60" s="20" t="str">
        <f t="shared" si="1"/>
        <v/>
      </c>
      <c r="E60" s="20" t="str">
        <f t="shared" si="2"/>
        <v/>
      </c>
      <c r="F60" s="26" t="str">
        <f t="shared" si="0"/>
        <v/>
      </c>
      <c r="G60" s="21"/>
    </row>
    <row r="61" spans="2:7" x14ac:dyDescent="0.15">
      <c r="B61" s="19" t="str">
        <f>IF(データ入力!E57="","",データ入力!E57)</f>
        <v/>
      </c>
      <c r="C61" s="19" t="str">
        <f>IF(データ入力!G57="","",データ入力!G57)</f>
        <v/>
      </c>
      <c r="D61" s="20" t="str">
        <f t="shared" si="1"/>
        <v/>
      </c>
      <c r="E61" s="20" t="str">
        <f t="shared" si="2"/>
        <v/>
      </c>
      <c r="F61" s="26" t="str">
        <f t="shared" si="0"/>
        <v/>
      </c>
      <c r="G61" s="21"/>
    </row>
    <row r="62" spans="2:7" x14ac:dyDescent="0.15">
      <c r="B62" s="19" t="str">
        <f>IF(データ入力!E58="","",データ入力!E58)</f>
        <v/>
      </c>
      <c r="C62" s="19" t="str">
        <f>IF(データ入力!G58="","",データ入力!G58)</f>
        <v/>
      </c>
      <c r="D62" s="20" t="str">
        <f t="shared" si="1"/>
        <v/>
      </c>
      <c r="E62" s="20" t="str">
        <f t="shared" si="2"/>
        <v/>
      </c>
      <c r="F62" s="26" t="str">
        <f t="shared" si="0"/>
        <v/>
      </c>
      <c r="G62" s="21"/>
    </row>
    <row r="63" spans="2:7" x14ac:dyDescent="0.15">
      <c r="B63" s="19" t="str">
        <f>IF(データ入力!E59="","",データ入力!E59)</f>
        <v/>
      </c>
      <c r="C63" s="19" t="str">
        <f>IF(データ入力!G59="","",データ入力!G59)</f>
        <v/>
      </c>
      <c r="D63" s="20" t="str">
        <f t="shared" si="1"/>
        <v/>
      </c>
      <c r="E63" s="20" t="str">
        <f t="shared" si="2"/>
        <v/>
      </c>
      <c r="F63" s="26" t="str">
        <f t="shared" si="0"/>
        <v/>
      </c>
      <c r="G63" s="21"/>
    </row>
    <row r="64" spans="2:7" x14ac:dyDescent="0.15">
      <c r="B64" s="19" t="str">
        <f>IF(データ入力!E60="","",データ入力!E60)</f>
        <v/>
      </c>
      <c r="C64" s="19" t="str">
        <f>IF(データ入力!G60="","",データ入力!G60)</f>
        <v/>
      </c>
      <c r="D64" s="20" t="str">
        <f t="shared" si="1"/>
        <v/>
      </c>
      <c r="E64" s="20" t="str">
        <f t="shared" si="2"/>
        <v/>
      </c>
      <c r="F64" s="26" t="str">
        <f t="shared" si="0"/>
        <v/>
      </c>
      <c r="G64" s="21"/>
    </row>
    <row r="65" spans="2:7" x14ac:dyDescent="0.15">
      <c r="B65" s="19" t="str">
        <f>IF(データ入力!E61="","",データ入力!E61)</f>
        <v/>
      </c>
      <c r="C65" s="19" t="str">
        <f>IF(データ入力!G61="","",データ入力!G61)</f>
        <v/>
      </c>
      <c r="D65" s="20" t="str">
        <f t="shared" si="1"/>
        <v/>
      </c>
      <c r="E65" s="20" t="str">
        <f t="shared" si="2"/>
        <v/>
      </c>
      <c r="F65" s="26" t="str">
        <f t="shared" si="0"/>
        <v/>
      </c>
      <c r="G65" s="21"/>
    </row>
    <row r="66" spans="2:7" x14ac:dyDescent="0.15">
      <c r="B66" s="19" t="str">
        <f>IF(データ入力!E62="","",データ入力!E62)</f>
        <v/>
      </c>
      <c r="C66" s="19" t="str">
        <f>IF(データ入力!G62="","",データ入力!G62)</f>
        <v/>
      </c>
      <c r="D66" s="20" t="str">
        <f t="shared" si="1"/>
        <v/>
      </c>
      <c r="E66" s="20" t="str">
        <f t="shared" si="2"/>
        <v/>
      </c>
      <c r="F66" s="26" t="str">
        <f t="shared" si="0"/>
        <v/>
      </c>
      <c r="G66" s="21"/>
    </row>
    <row r="67" spans="2:7" x14ac:dyDescent="0.15">
      <c r="B67" s="19" t="str">
        <f>IF(データ入力!E63="","",データ入力!E63)</f>
        <v/>
      </c>
      <c r="C67" s="19" t="str">
        <f>IF(データ入力!G63="","",データ入力!G63)</f>
        <v/>
      </c>
      <c r="D67" s="20" t="str">
        <f t="shared" si="1"/>
        <v/>
      </c>
      <c r="E67" s="20" t="str">
        <f t="shared" si="2"/>
        <v/>
      </c>
      <c r="F67" s="26" t="str">
        <f t="shared" si="0"/>
        <v/>
      </c>
      <c r="G67" s="21"/>
    </row>
    <row r="68" spans="2:7" x14ac:dyDescent="0.15">
      <c r="B68" s="19" t="str">
        <f>IF(データ入力!E64="","",データ入力!E64)</f>
        <v/>
      </c>
      <c r="C68" s="19" t="str">
        <f>IF(データ入力!G64="","",データ入力!G64)</f>
        <v/>
      </c>
      <c r="D68" s="20" t="str">
        <f t="shared" si="1"/>
        <v/>
      </c>
      <c r="E68" s="20" t="str">
        <f t="shared" si="2"/>
        <v/>
      </c>
      <c r="F68" s="26" t="str">
        <f t="shared" si="0"/>
        <v/>
      </c>
      <c r="G68" s="21"/>
    </row>
    <row r="69" spans="2:7" x14ac:dyDescent="0.15">
      <c r="B69" s="19" t="str">
        <f>IF(データ入力!E65="","",データ入力!E65)</f>
        <v/>
      </c>
      <c r="C69" s="19" t="str">
        <f>IF(データ入力!G65="","",データ入力!G65)</f>
        <v/>
      </c>
      <c r="D69" s="20" t="str">
        <f t="shared" si="1"/>
        <v/>
      </c>
      <c r="E69" s="20" t="str">
        <f t="shared" si="2"/>
        <v/>
      </c>
      <c r="F69" s="26" t="str">
        <f t="shared" si="0"/>
        <v/>
      </c>
      <c r="G69" s="21"/>
    </row>
    <row r="70" spans="2:7" x14ac:dyDescent="0.15">
      <c r="B70" s="19" t="str">
        <f>IF(データ入力!E66="","",データ入力!E66)</f>
        <v/>
      </c>
      <c r="C70" s="19" t="str">
        <f>IF(データ入力!G66="","",データ入力!G66)</f>
        <v/>
      </c>
      <c r="D70" s="20" t="str">
        <f t="shared" si="1"/>
        <v/>
      </c>
      <c r="E70" s="20" t="str">
        <f t="shared" si="2"/>
        <v/>
      </c>
      <c r="F70" s="26" t="str">
        <f t="shared" si="0"/>
        <v/>
      </c>
      <c r="G70" s="21"/>
    </row>
    <row r="71" spans="2:7" x14ac:dyDescent="0.15">
      <c r="B71" s="19" t="str">
        <f>IF(データ入力!E67="","",データ入力!E67)</f>
        <v/>
      </c>
      <c r="C71" s="19" t="str">
        <f>IF(データ入力!G67="","",データ入力!G67)</f>
        <v/>
      </c>
      <c r="D71" s="20" t="str">
        <f t="shared" si="1"/>
        <v/>
      </c>
      <c r="E71" s="20" t="str">
        <f t="shared" si="2"/>
        <v/>
      </c>
      <c r="F71" s="26" t="str">
        <f t="shared" si="0"/>
        <v/>
      </c>
      <c r="G71" s="21"/>
    </row>
    <row r="72" spans="2:7" x14ac:dyDescent="0.15">
      <c r="B72" s="19" t="str">
        <f>IF(データ入力!E68="","",データ入力!E68)</f>
        <v/>
      </c>
      <c r="C72" s="19" t="str">
        <f>IF(データ入力!G68="","",データ入力!G68)</f>
        <v/>
      </c>
      <c r="D72" s="20" t="str">
        <f t="shared" si="1"/>
        <v/>
      </c>
      <c r="E72" s="20" t="str">
        <f t="shared" si="2"/>
        <v/>
      </c>
      <c r="F72" s="26" t="str">
        <f t="shared" si="0"/>
        <v/>
      </c>
      <c r="G72" s="21"/>
    </row>
    <row r="73" spans="2:7" x14ac:dyDescent="0.15">
      <c r="B73" s="19" t="str">
        <f>IF(データ入力!E69="","",データ入力!E69)</f>
        <v/>
      </c>
      <c r="C73" s="19" t="str">
        <f>IF(データ入力!G69="","",データ入力!G69)</f>
        <v/>
      </c>
      <c r="D73" s="20" t="str">
        <f t="shared" si="1"/>
        <v/>
      </c>
      <c r="E73" s="20" t="str">
        <f t="shared" si="2"/>
        <v/>
      </c>
      <c r="F73" s="26" t="str">
        <f t="shared" si="0"/>
        <v/>
      </c>
      <c r="G73" s="21"/>
    </row>
    <row r="74" spans="2:7" x14ac:dyDescent="0.15">
      <c r="B74" s="19" t="str">
        <f>IF(データ入力!E70="","",データ入力!E70)</f>
        <v/>
      </c>
      <c r="C74" s="19" t="str">
        <f>IF(データ入力!G70="","",データ入力!G70)</f>
        <v/>
      </c>
      <c r="D74" s="20" t="str">
        <f t="shared" si="1"/>
        <v/>
      </c>
      <c r="E74" s="20" t="str">
        <f t="shared" si="2"/>
        <v/>
      </c>
      <c r="F74" s="26" t="str">
        <f t="shared" ref="F74:F109" si="3">IF(E74="","",E74^2)</f>
        <v/>
      </c>
      <c r="G74" s="21"/>
    </row>
    <row r="75" spans="2:7" x14ac:dyDescent="0.15">
      <c r="B75" s="19" t="str">
        <f>IF(データ入力!E71="","",データ入力!E71)</f>
        <v/>
      </c>
      <c r="C75" s="19" t="str">
        <f>IF(データ入力!G71="","",データ入力!G71)</f>
        <v/>
      </c>
      <c r="D75" s="20" t="str">
        <f t="shared" ref="D75:D109" si="4">IF(B75="","",IF(B75=0,$C$4*EXP(-$C$5*$C$6^(B75+0.001)),$C$4*EXP(-$C$5*$C$6^B75)))</f>
        <v/>
      </c>
      <c r="E75" s="20" t="str">
        <f t="shared" si="2"/>
        <v/>
      </c>
      <c r="F75" s="26" t="str">
        <f t="shared" si="3"/>
        <v/>
      </c>
      <c r="G75" s="21"/>
    </row>
    <row r="76" spans="2:7" x14ac:dyDescent="0.15">
      <c r="B76" s="19" t="str">
        <f>IF(データ入力!E72="","",データ入力!E72)</f>
        <v/>
      </c>
      <c r="C76" s="19" t="str">
        <f>IF(データ入力!G72="","",データ入力!G72)</f>
        <v/>
      </c>
      <c r="D76" s="20" t="str">
        <f t="shared" si="4"/>
        <v/>
      </c>
      <c r="E76" s="20" t="str">
        <f>IF(C76="","",C76-D76)</f>
        <v/>
      </c>
      <c r="F76" s="26" t="str">
        <f t="shared" si="3"/>
        <v/>
      </c>
      <c r="G76" s="21"/>
    </row>
    <row r="77" spans="2:7" x14ac:dyDescent="0.15">
      <c r="B77" s="19" t="str">
        <f>IF(データ入力!E73="","",データ入力!E73)</f>
        <v/>
      </c>
      <c r="C77" s="19" t="str">
        <f>IF(データ入力!G73="","",データ入力!G73)</f>
        <v/>
      </c>
      <c r="D77" s="20" t="str">
        <f t="shared" si="4"/>
        <v/>
      </c>
      <c r="E77" s="20" t="str">
        <f>IF(C77="","",C77-D77)</f>
        <v/>
      </c>
      <c r="F77" s="26" t="str">
        <f t="shared" si="3"/>
        <v/>
      </c>
      <c r="G77" s="21"/>
    </row>
    <row r="78" spans="2:7" x14ac:dyDescent="0.15">
      <c r="B78" s="19" t="str">
        <f>IF(データ入力!E74="","",データ入力!E74)</f>
        <v/>
      </c>
      <c r="C78" s="19" t="str">
        <f>IF(データ入力!G74="","",データ入力!G74)</f>
        <v/>
      </c>
      <c r="D78" s="20" t="str">
        <f t="shared" si="4"/>
        <v/>
      </c>
      <c r="E78" s="20" t="str">
        <f>IF(C78="","",C78-D78)</f>
        <v/>
      </c>
      <c r="F78" s="26" t="str">
        <f t="shared" si="3"/>
        <v/>
      </c>
      <c r="G78" s="21"/>
    </row>
    <row r="79" spans="2:7" x14ac:dyDescent="0.15">
      <c r="B79" s="19" t="str">
        <f>IF(データ入力!E75="","",データ入力!E75)</f>
        <v/>
      </c>
      <c r="C79" s="19" t="str">
        <f>IF(データ入力!G75="","",データ入力!G75)</f>
        <v/>
      </c>
      <c r="D79" s="20" t="str">
        <f t="shared" si="4"/>
        <v/>
      </c>
      <c r="E79" s="20" t="str">
        <f>IF(C79="","",C79-D79)</f>
        <v/>
      </c>
      <c r="F79" s="26" t="str">
        <f t="shared" si="3"/>
        <v/>
      </c>
      <c r="G79" s="21"/>
    </row>
    <row r="80" spans="2:7" x14ac:dyDescent="0.15">
      <c r="B80" s="19" t="str">
        <f>IF(データ入力!E76="","",データ入力!E76)</f>
        <v/>
      </c>
      <c r="C80" s="19" t="str">
        <f>IF(データ入力!G76="","",データ入力!G76)</f>
        <v/>
      </c>
      <c r="D80" s="20" t="str">
        <f t="shared" si="4"/>
        <v/>
      </c>
      <c r="E80" s="20" t="str">
        <f t="shared" ref="E80:E109" si="5">IF(C80="","",C80-D80)</f>
        <v/>
      </c>
      <c r="F80" s="26" t="str">
        <f t="shared" si="3"/>
        <v/>
      </c>
      <c r="G80" s="21"/>
    </row>
    <row r="81" spans="2:7" x14ac:dyDescent="0.15">
      <c r="B81" s="19" t="str">
        <f>IF(データ入力!E77="","",データ入力!E77)</f>
        <v/>
      </c>
      <c r="C81" s="19" t="str">
        <f>IF(データ入力!G77="","",データ入力!G77)</f>
        <v/>
      </c>
      <c r="D81" s="20" t="str">
        <f t="shared" si="4"/>
        <v/>
      </c>
      <c r="E81" s="20" t="str">
        <f t="shared" si="5"/>
        <v/>
      </c>
      <c r="F81" s="26" t="str">
        <f t="shared" si="3"/>
        <v/>
      </c>
      <c r="G81" s="21"/>
    </row>
    <row r="82" spans="2:7" x14ac:dyDescent="0.15">
      <c r="B82" s="19" t="str">
        <f>IF(データ入力!E78="","",データ入力!E78)</f>
        <v/>
      </c>
      <c r="C82" s="19" t="str">
        <f>IF(データ入力!G78="","",データ入力!G78)</f>
        <v/>
      </c>
      <c r="D82" s="20" t="str">
        <f t="shared" si="4"/>
        <v/>
      </c>
      <c r="E82" s="20" t="str">
        <f t="shared" si="5"/>
        <v/>
      </c>
      <c r="F82" s="26" t="str">
        <f t="shared" si="3"/>
        <v/>
      </c>
      <c r="G82" s="21"/>
    </row>
    <row r="83" spans="2:7" x14ac:dyDescent="0.15">
      <c r="B83" s="19" t="str">
        <f>IF(データ入力!E79="","",データ入力!E79)</f>
        <v/>
      </c>
      <c r="C83" s="19" t="str">
        <f>IF(データ入力!G79="","",データ入力!G79)</f>
        <v/>
      </c>
      <c r="D83" s="20" t="str">
        <f t="shared" si="4"/>
        <v/>
      </c>
      <c r="E83" s="20" t="str">
        <f t="shared" si="5"/>
        <v/>
      </c>
      <c r="F83" s="26" t="str">
        <f t="shared" si="3"/>
        <v/>
      </c>
      <c r="G83" s="21"/>
    </row>
    <row r="84" spans="2:7" x14ac:dyDescent="0.15">
      <c r="B84" s="19" t="str">
        <f>IF(データ入力!E80="","",データ入力!E80)</f>
        <v/>
      </c>
      <c r="C84" s="19" t="str">
        <f>IF(データ入力!G80="","",データ入力!G80)</f>
        <v/>
      </c>
      <c r="D84" s="20" t="str">
        <f t="shared" si="4"/>
        <v/>
      </c>
      <c r="E84" s="20" t="str">
        <f t="shared" si="5"/>
        <v/>
      </c>
      <c r="F84" s="26" t="str">
        <f t="shared" si="3"/>
        <v/>
      </c>
      <c r="G84" s="21"/>
    </row>
    <row r="85" spans="2:7" x14ac:dyDescent="0.15">
      <c r="B85" s="19" t="str">
        <f>IF(データ入力!E81="","",データ入力!E81)</f>
        <v/>
      </c>
      <c r="C85" s="19" t="str">
        <f>IF(データ入力!G81="","",データ入力!G81)</f>
        <v/>
      </c>
      <c r="D85" s="20" t="str">
        <f t="shared" si="4"/>
        <v/>
      </c>
      <c r="E85" s="20" t="str">
        <f t="shared" si="5"/>
        <v/>
      </c>
      <c r="F85" s="26" t="str">
        <f t="shared" si="3"/>
        <v/>
      </c>
      <c r="G85" s="21"/>
    </row>
    <row r="86" spans="2:7" x14ac:dyDescent="0.15">
      <c r="B86" s="19" t="str">
        <f>IF(データ入力!E82="","",データ入力!E82)</f>
        <v/>
      </c>
      <c r="C86" s="19" t="str">
        <f>IF(データ入力!G82="","",データ入力!G82)</f>
        <v/>
      </c>
      <c r="D86" s="20" t="str">
        <f t="shared" si="4"/>
        <v/>
      </c>
      <c r="E86" s="20" t="str">
        <f t="shared" si="5"/>
        <v/>
      </c>
      <c r="F86" s="26" t="str">
        <f t="shared" si="3"/>
        <v/>
      </c>
      <c r="G86" s="21"/>
    </row>
    <row r="87" spans="2:7" x14ac:dyDescent="0.15">
      <c r="B87" s="19" t="str">
        <f>IF(データ入力!E83="","",データ入力!E83)</f>
        <v/>
      </c>
      <c r="C87" s="19" t="str">
        <f>IF(データ入力!G83="","",データ入力!G83)</f>
        <v/>
      </c>
      <c r="D87" s="20" t="str">
        <f t="shared" si="4"/>
        <v/>
      </c>
      <c r="E87" s="20" t="str">
        <f t="shared" si="5"/>
        <v/>
      </c>
      <c r="F87" s="26" t="str">
        <f t="shared" si="3"/>
        <v/>
      </c>
      <c r="G87" s="21"/>
    </row>
    <row r="88" spans="2:7" x14ac:dyDescent="0.15">
      <c r="B88" s="19" t="str">
        <f>IF(データ入力!E84="","",データ入力!E84)</f>
        <v/>
      </c>
      <c r="C88" s="19" t="str">
        <f>IF(データ入力!G84="","",データ入力!G84)</f>
        <v/>
      </c>
      <c r="D88" s="20" t="str">
        <f t="shared" si="4"/>
        <v/>
      </c>
      <c r="E88" s="20" t="str">
        <f t="shared" si="5"/>
        <v/>
      </c>
      <c r="F88" s="26" t="str">
        <f t="shared" si="3"/>
        <v/>
      </c>
      <c r="G88" s="21"/>
    </row>
    <row r="89" spans="2:7" x14ac:dyDescent="0.15">
      <c r="B89" s="19" t="str">
        <f>IF(データ入力!E85="","",データ入力!E85)</f>
        <v/>
      </c>
      <c r="C89" s="19" t="str">
        <f>IF(データ入力!G85="","",データ入力!G85)</f>
        <v/>
      </c>
      <c r="D89" s="20" t="str">
        <f t="shared" si="4"/>
        <v/>
      </c>
      <c r="E89" s="20" t="str">
        <f t="shared" si="5"/>
        <v/>
      </c>
      <c r="F89" s="26" t="str">
        <f t="shared" si="3"/>
        <v/>
      </c>
      <c r="G89" s="21"/>
    </row>
    <row r="90" spans="2:7" x14ac:dyDescent="0.15">
      <c r="B90" s="19" t="str">
        <f>IF(データ入力!E86="","",データ入力!E86)</f>
        <v/>
      </c>
      <c r="C90" s="19" t="str">
        <f>IF(データ入力!G86="","",データ入力!G86)</f>
        <v/>
      </c>
      <c r="D90" s="20" t="str">
        <f t="shared" si="4"/>
        <v/>
      </c>
      <c r="E90" s="20" t="str">
        <f t="shared" si="5"/>
        <v/>
      </c>
      <c r="F90" s="26" t="str">
        <f t="shared" si="3"/>
        <v/>
      </c>
      <c r="G90" s="21"/>
    </row>
    <row r="91" spans="2:7" x14ac:dyDescent="0.15">
      <c r="B91" s="19" t="str">
        <f>IF(データ入力!E87="","",データ入力!E87)</f>
        <v/>
      </c>
      <c r="C91" s="19" t="str">
        <f>IF(データ入力!G87="","",データ入力!G87)</f>
        <v/>
      </c>
      <c r="D91" s="20" t="str">
        <f t="shared" si="4"/>
        <v/>
      </c>
      <c r="E91" s="20" t="str">
        <f t="shared" si="5"/>
        <v/>
      </c>
      <c r="F91" s="26" t="str">
        <f t="shared" si="3"/>
        <v/>
      </c>
      <c r="G91" s="21"/>
    </row>
    <row r="92" spans="2:7" x14ac:dyDescent="0.15">
      <c r="B92" s="19" t="str">
        <f>IF(データ入力!E88="","",データ入力!E88)</f>
        <v/>
      </c>
      <c r="C92" s="19" t="str">
        <f>IF(データ入力!G88="","",データ入力!G88)</f>
        <v/>
      </c>
      <c r="D92" s="20" t="str">
        <f t="shared" si="4"/>
        <v/>
      </c>
      <c r="E92" s="20" t="str">
        <f t="shared" si="5"/>
        <v/>
      </c>
      <c r="F92" s="26" t="str">
        <f t="shared" si="3"/>
        <v/>
      </c>
      <c r="G92" s="21"/>
    </row>
    <row r="93" spans="2:7" x14ac:dyDescent="0.15">
      <c r="B93" s="19" t="str">
        <f>IF(データ入力!E89="","",データ入力!E89)</f>
        <v/>
      </c>
      <c r="C93" s="19" t="str">
        <f>IF(データ入力!G89="","",データ入力!G89)</f>
        <v/>
      </c>
      <c r="D93" s="20" t="str">
        <f t="shared" si="4"/>
        <v/>
      </c>
      <c r="E93" s="20" t="str">
        <f t="shared" si="5"/>
        <v/>
      </c>
      <c r="F93" s="26" t="str">
        <f t="shared" si="3"/>
        <v/>
      </c>
      <c r="G93" s="21"/>
    </row>
    <row r="94" spans="2:7" x14ac:dyDescent="0.15">
      <c r="B94" s="19" t="str">
        <f>IF(データ入力!E90="","",データ入力!E90)</f>
        <v/>
      </c>
      <c r="C94" s="19" t="str">
        <f>IF(データ入力!G90="","",データ入力!G90)</f>
        <v/>
      </c>
      <c r="D94" s="20" t="str">
        <f t="shared" si="4"/>
        <v/>
      </c>
      <c r="E94" s="20" t="str">
        <f t="shared" si="5"/>
        <v/>
      </c>
      <c r="F94" s="26" t="str">
        <f t="shared" si="3"/>
        <v/>
      </c>
      <c r="G94" s="21"/>
    </row>
    <row r="95" spans="2:7" x14ac:dyDescent="0.15">
      <c r="B95" s="19" t="str">
        <f>IF(データ入力!E91="","",データ入力!E91)</f>
        <v/>
      </c>
      <c r="C95" s="19" t="str">
        <f>IF(データ入力!G91="","",データ入力!G91)</f>
        <v/>
      </c>
      <c r="D95" s="20" t="str">
        <f t="shared" si="4"/>
        <v/>
      </c>
      <c r="E95" s="20" t="str">
        <f t="shared" si="5"/>
        <v/>
      </c>
      <c r="F95" s="26" t="str">
        <f t="shared" si="3"/>
        <v/>
      </c>
      <c r="G95" s="21"/>
    </row>
    <row r="96" spans="2:7" x14ac:dyDescent="0.15">
      <c r="B96" s="19" t="str">
        <f>IF(データ入力!E92="","",データ入力!E92)</f>
        <v/>
      </c>
      <c r="C96" s="19" t="str">
        <f>IF(データ入力!G92="","",データ入力!G92)</f>
        <v/>
      </c>
      <c r="D96" s="20" t="str">
        <f t="shared" si="4"/>
        <v/>
      </c>
      <c r="E96" s="20" t="str">
        <f t="shared" si="5"/>
        <v/>
      </c>
      <c r="F96" s="26" t="str">
        <f t="shared" si="3"/>
        <v/>
      </c>
      <c r="G96" s="21"/>
    </row>
    <row r="97" spans="2:7" x14ac:dyDescent="0.15">
      <c r="B97" s="19" t="str">
        <f>IF(データ入力!E93="","",データ入力!E93)</f>
        <v/>
      </c>
      <c r="C97" s="19" t="str">
        <f>IF(データ入力!G93="","",データ入力!G93)</f>
        <v/>
      </c>
      <c r="D97" s="20" t="str">
        <f t="shared" si="4"/>
        <v/>
      </c>
      <c r="E97" s="20" t="str">
        <f t="shared" si="5"/>
        <v/>
      </c>
      <c r="F97" s="26" t="str">
        <f t="shared" si="3"/>
        <v/>
      </c>
      <c r="G97" s="21"/>
    </row>
    <row r="98" spans="2:7" x14ac:dyDescent="0.15">
      <c r="B98" s="19" t="str">
        <f>IF(データ入力!E94="","",データ入力!E94)</f>
        <v/>
      </c>
      <c r="C98" s="19" t="str">
        <f>IF(データ入力!G94="","",データ入力!G94)</f>
        <v/>
      </c>
      <c r="D98" s="20" t="str">
        <f t="shared" si="4"/>
        <v/>
      </c>
      <c r="E98" s="20" t="str">
        <f t="shared" si="5"/>
        <v/>
      </c>
      <c r="F98" s="26" t="str">
        <f t="shared" si="3"/>
        <v/>
      </c>
      <c r="G98" s="21"/>
    </row>
    <row r="99" spans="2:7" x14ac:dyDescent="0.15">
      <c r="B99" s="19" t="str">
        <f>IF(データ入力!E95="","",データ入力!E95)</f>
        <v/>
      </c>
      <c r="C99" s="19" t="str">
        <f>IF(データ入力!G95="","",データ入力!G95)</f>
        <v/>
      </c>
      <c r="D99" s="20" t="str">
        <f t="shared" si="4"/>
        <v/>
      </c>
      <c r="E99" s="20" t="str">
        <f t="shared" si="5"/>
        <v/>
      </c>
      <c r="F99" s="26" t="str">
        <f t="shared" si="3"/>
        <v/>
      </c>
      <c r="G99" s="21"/>
    </row>
    <row r="100" spans="2:7" x14ac:dyDescent="0.15">
      <c r="B100" s="19" t="str">
        <f>IF(データ入力!E96="","",データ入力!E96)</f>
        <v/>
      </c>
      <c r="C100" s="19" t="str">
        <f>IF(データ入力!G96="","",データ入力!G96)</f>
        <v/>
      </c>
      <c r="D100" s="20" t="str">
        <f t="shared" si="4"/>
        <v/>
      </c>
      <c r="E100" s="20" t="str">
        <f t="shared" si="5"/>
        <v/>
      </c>
      <c r="F100" s="26" t="str">
        <f t="shared" si="3"/>
        <v/>
      </c>
      <c r="G100" s="21"/>
    </row>
    <row r="101" spans="2:7" x14ac:dyDescent="0.15">
      <c r="B101" s="19" t="str">
        <f>IF(データ入力!E97="","",データ入力!E97)</f>
        <v/>
      </c>
      <c r="C101" s="19" t="str">
        <f>IF(データ入力!G97="","",データ入力!G97)</f>
        <v/>
      </c>
      <c r="D101" s="20" t="str">
        <f t="shared" si="4"/>
        <v/>
      </c>
      <c r="E101" s="20" t="str">
        <f t="shared" si="5"/>
        <v/>
      </c>
      <c r="F101" s="26" t="str">
        <f t="shared" si="3"/>
        <v/>
      </c>
      <c r="G101" s="21"/>
    </row>
    <row r="102" spans="2:7" x14ac:dyDescent="0.15">
      <c r="B102" s="19" t="str">
        <f>IF(データ入力!E98="","",データ入力!E98)</f>
        <v/>
      </c>
      <c r="C102" s="19" t="str">
        <f>IF(データ入力!G98="","",データ入力!G98)</f>
        <v/>
      </c>
      <c r="D102" s="20" t="str">
        <f t="shared" si="4"/>
        <v/>
      </c>
      <c r="E102" s="20" t="str">
        <f t="shared" si="5"/>
        <v/>
      </c>
      <c r="F102" s="26" t="str">
        <f t="shared" si="3"/>
        <v/>
      </c>
      <c r="G102" s="21"/>
    </row>
    <row r="103" spans="2:7" x14ac:dyDescent="0.15">
      <c r="B103" s="19" t="str">
        <f>IF(データ入力!E99="","",データ入力!E99)</f>
        <v/>
      </c>
      <c r="C103" s="19" t="str">
        <f>IF(データ入力!G99="","",データ入力!G99)</f>
        <v/>
      </c>
      <c r="D103" s="20" t="str">
        <f t="shared" si="4"/>
        <v/>
      </c>
      <c r="E103" s="20" t="str">
        <f t="shared" si="5"/>
        <v/>
      </c>
      <c r="F103" s="26" t="str">
        <f t="shared" si="3"/>
        <v/>
      </c>
      <c r="G103" s="21"/>
    </row>
    <row r="104" spans="2:7" x14ac:dyDescent="0.15">
      <c r="B104" s="19" t="str">
        <f>IF(データ入力!E100="","",データ入力!E100)</f>
        <v/>
      </c>
      <c r="C104" s="19" t="str">
        <f>IF(データ入力!G100="","",データ入力!G100)</f>
        <v/>
      </c>
      <c r="D104" s="20" t="str">
        <f t="shared" si="4"/>
        <v/>
      </c>
      <c r="E104" s="20" t="str">
        <f t="shared" si="5"/>
        <v/>
      </c>
      <c r="F104" s="26" t="str">
        <f t="shared" si="3"/>
        <v/>
      </c>
      <c r="G104" s="21"/>
    </row>
    <row r="105" spans="2:7" x14ac:dyDescent="0.15">
      <c r="B105" s="19" t="str">
        <f>IF(データ入力!E101="","",データ入力!E101)</f>
        <v/>
      </c>
      <c r="C105" s="19" t="str">
        <f>IF(データ入力!G101="","",データ入力!G101)</f>
        <v/>
      </c>
      <c r="D105" s="20" t="str">
        <f t="shared" si="4"/>
        <v/>
      </c>
      <c r="E105" s="20" t="str">
        <f t="shared" si="5"/>
        <v/>
      </c>
      <c r="F105" s="26" t="str">
        <f t="shared" si="3"/>
        <v/>
      </c>
      <c r="G105" s="21"/>
    </row>
    <row r="106" spans="2:7" x14ac:dyDescent="0.15">
      <c r="B106" s="19" t="str">
        <f>IF(データ入力!E102="","",データ入力!E102)</f>
        <v/>
      </c>
      <c r="C106" s="19" t="str">
        <f>IF(データ入力!G102="","",データ入力!G102)</f>
        <v/>
      </c>
      <c r="D106" s="20" t="str">
        <f t="shared" si="4"/>
        <v/>
      </c>
      <c r="E106" s="20" t="str">
        <f t="shared" si="5"/>
        <v/>
      </c>
      <c r="F106" s="26" t="str">
        <f t="shared" si="3"/>
        <v/>
      </c>
      <c r="G106" s="21"/>
    </row>
    <row r="107" spans="2:7" x14ac:dyDescent="0.15">
      <c r="B107" s="19" t="str">
        <f>IF(データ入力!E103="","",データ入力!E103)</f>
        <v/>
      </c>
      <c r="C107" s="19" t="str">
        <f>IF(データ入力!G103="","",データ入力!G103)</f>
        <v/>
      </c>
      <c r="D107" s="20" t="str">
        <f t="shared" si="4"/>
        <v/>
      </c>
      <c r="E107" s="20" t="str">
        <f t="shared" si="5"/>
        <v/>
      </c>
      <c r="F107" s="26" t="str">
        <f t="shared" si="3"/>
        <v/>
      </c>
      <c r="G107" s="21"/>
    </row>
    <row r="108" spans="2:7" x14ac:dyDescent="0.15">
      <c r="B108" s="19" t="str">
        <f>IF(データ入力!E104="","",データ入力!E104)</f>
        <v/>
      </c>
      <c r="C108" s="19" t="str">
        <f>IF(データ入力!G104="","",データ入力!G104)</f>
        <v/>
      </c>
      <c r="D108" s="20" t="str">
        <f t="shared" si="4"/>
        <v/>
      </c>
      <c r="E108" s="20" t="str">
        <f t="shared" si="5"/>
        <v/>
      </c>
      <c r="F108" s="26" t="str">
        <f t="shared" si="3"/>
        <v/>
      </c>
      <c r="G108" s="21"/>
    </row>
    <row r="109" spans="2:7" x14ac:dyDescent="0.15">
      <c r="B109" s="19" t="str">
        <f>IF(データ入力!E105="","",データ入力!E105)</f>
        <v/>
      </c>
      <c r="C109" s="19" t="str">
        <f>IF(データ入力!G105="","",データ入力!G105)</f>
        <v/>
      </c>
      <c r="D109" s="20" t="str">
        <f t="shared" si="4"/>
        <v/>
      </c>
      <c r="E109" s="20" t="str">
        <f t="shared" si="5"/>
        <v/>
      </c>
      <c r="F109" s="26" t="str">
        <f t="shared" si="3"/>
        <v/>
      </c>
      <c r="G109" s="21"/>
    </row>
  </sheetData>
  <scenarios current="0">
    <scenario name="srgm_test" count="3" user="Tomi" comment="作成者 : Tomi 日付 : 8/19/2010">
      <inputCells r="C4" val="85.2303964347601"/>
      <inputCells r="C5" val="12.4553706530314"/>
      <inputCells r="C6" val="0.986959959300145"/>
    </scenario>
  </scenarios>
  <mergeCells count="2">
    <mergeCell ref="E4:F4"/>
    <mergeCell ref="E5:F5"/>
  </mergeCells>
  <phoneticPr fontId="2"/>
  <pageMargins left="0.39370078740157483" right="0.39370078740157483" top="0.59055118110236227" bottom="0.59055118110236227" header="0.51181102362204722" footer="0.51181102362204722"/>
  <pageSetup paperSize="9" scale="80" orientation="landscape" r:id="rId1"/>
  <headerFooter alignWithMargins="0"/>
  <drawing r:id="rId2"/>
  <legacyDrawing r:id="rId3"/>
  <controls>
    <mc:AlternateContent xmlns:mc="http://schemas.openxmlformats.org/markup-compatibility/2006">
      <mc:Choice Requires="x14">
        <control shapeId="10242" r:id="rId4" name="CommandButton1">
          <controlPr defaultSize="0" autoLine="0" r:id="rId5">
            <anchor moveWithCells="1">
              <from>
                <xdr:col>6</xdr:col>
                <xdr:colOff>114300</xdr:colOff>
                <xdr:row>5</xdr:row>
                <xdr:rowOff>57150</xdr:rowOff>
              </from>
              <to>
                <xdr:col>6</xdr:col>
                <xdr:colOff>885825</xdr:colOff>
                <xdr:row>6</xdr:row>
                <xdr:rowOff>142875</xdr:rowOff>
              </to>
            </anchor>
          </controlPr>
        </control>
      </mc:Choice>
      <mc:Fallback>
        <control shapeId="10242"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8071C-F113-46B7-9861-5E8E05317A3F}">
  <sheetPr codeName="Sheet8"/>
  <dimension ref="B1:Q109"/>
  <sheetViews>
    <sheetView zoomScaleNormal="100" workbookViewId="0"/>
  </sheetViews>
  <sheetFormatPr defaultRowHeight="13.5" x14ac:dyDescent="0.15"/>
  <cols>
    <col min="1" max="1" width="2.625" style="1" customWidth="1"/>
    <col min="2" max="7" width="13.25" style="1" customWidth="1"/>
    <col min="8" max="9" width="9.5" style="1" customWidth="1"/>
    <col min="10" max="10" width="3.375" style="1" customWidth="1"/>
    <col min="11" max="12" width="9.5" style="1" customWidth="1"/>
    <col min="13" max="16384" width="9" style="1"/>
  </cols>
  <sheetData>
    <row r="1" spans="2:17" x14ac:dyDescent="0.15">
      <c r="E1" s="1" t="s">
        <v>38</v>
      </c>
    </row>
    <row r="2" spans="2:17" x14ac:dyDescent="0.15">
      <c r="B2" s="1" t="s">
        <v>0</v>
      </c>
      <c r="C2" s="1" t="s">
        <v>82</v>
      </c>
      <c r="E2" s="4" t="s">
        <v>29</v>
      </c>
      <c r="F2" s="3">
        <f>MAX(D10:D109)/C4*100</f>
        <v>100</v>
      </c>
      <c r="Q2"/>
    </row>
    <row r="3" spans="2:17" x14ac:dyDescent="0.15">
      <c r="B3" s="1" t="s">
        <v>61</v>
      </c>
      <c r="C3" s="1">
        <v>3</v>
      </c>
      <c r="E3" s="4" t="s">
        <v>39</v>
      </c>
      <c r="F3" s="3">
        <f>C4-MAX(D10:D109)</f>
        <v>0</v>
      </c>
      <c r="H3" s="1" t="s">
        <v>7</v>
      </c>
      <c r="J3" s="5"/>
      <c r="K3" s="1" t="s">
        <v>8</v>
      </c>
      <c r="N3" s="5" t="s">
        <v>64</v>
      </c>
      <c r="O3" s="5"/>
    </row>
    <row r="4" spans="2:17" ht="14.25" thickBot="1" x14ac:dyDescent="0.2">
      <c r="B4" s="6" t="s">
        <v>11</v>
      </c>
      <c r="C4" s="3">
        <v>115.57142857142858</v>
      </c>
      <c r="E4" s="61" t="s">
        <v>6</v>
      </c>
      <c r="F4" s="62"/>
      <c r="H4" s="7">
        <v>0.95</v>
      </c>
      <c r="I4" s="8" t="s">
        <v>9</v>
      </c>
      <c r="J4" s="5"/>
      <c r="K4" s="9">
        <v>0.99</v>
      </c>
      <c r="L4" s="10" t="s">
        <v>9</v>
      </c>
      <c r="N4" s="15" t="s">
        <v>25</v>
      </c>
      <c r="O4" s="31">
        <f>C7*LN((2*3.14*E5/C7)+1)+2*(C3+1)</f>
        <v>77.586352980779054</v>
      </c>
    </row>
    <row r="5" spans="2:17" x14ac:dyDescent="0.15">
      <c r="B5" s="6" t="s">
        <v>12</v>
      </c>
      <c r="C5" s="3">
        <v>74.04239411374806</v>
      </c>
      <c r="E5" s="63">
        <f>SUM(F10:F109)</f>
        <v>7632.7142857142853</v>
      </c>
      <c r="F5" s="64"/>
      <c r="H5" s="23">
        <f>C4*0.95</f>
        <v>109.79285714285714</v>
      </c>
      <c r="I5" s="22">
        <v>37.275946473182181</v>
      </c>
      <c r="J5" s="5"/>
      <c r="K5" s="22">
        <f>C4*0.99</f>
        <v>114.4157142857143</v>
      </c>
      <c r="L5" s="22">
        <v>37.275946473182181</v>
      </c>
    </row>
    <row r="6" spans="2:17" x14ac:dyDescent="0.15">
      <c r="B6" s="6" t="s">
        <v>13</v>
      </c>
      <c r="C6" s="3">
        <v>74.551892946364362</v>
      </c>
      <c r="E6" s="1" t="s">
        <v>10</v>
      </c>
      <c r="J6" s="5"/>
    </row>
    <row r="7" spans="2:17" x14ac:dyDescent="0.15">
      <c r="B7" s="14" t="s">
        <v>30</v>
      </c>
      <c r="C7" s="29">
        <f>COUNT(C10:C109)</f>
        <v>8</v>
      </c>
    </row>
    <row r="8" spans="2:17" x14ac:dyDescent="0.15">
      <c r="B8" s="15" t="s">
        <v>1</v>
      </c>
    </row>
    <row r="9" spans="2:17" ht="27.75" thickBot="1" x14ac:dyDescent="0.2">
      <c r="B9" s="16" t="s">
        <v>45</v>
      </c>
      <c r="C9" s="17" t="s">
        <v>3</v>
      </c>
      <c r="D9" s="17" t="s">
        <v>34</v>
      </c>
      <c r="E9" s="17" t="s">
        <v>4</v>
      </c>
      <c r="F9" s="25" t="s">
        <v>5</v>
      </c>
      <c r="G9" s="18"/>
    </row>
    <row r="10" spans="2:17" x14ac:dyDescent="0.15">
      <c r="B10" s="19">
        <f>IF(データ入力!E6="","",データ入力!E6)</f>
        <v>0</v>
      </c>
      <c r="C10" s="19">
        <f>IF(データ入力!G6="","",データ入力!G6)</f>
        <v>1</v>
      </c>
      <c r="D10" s="20">
        <f>IF(B10="","",IF(B10=0,0,$C$4*(1-EXP(-$C$5*B10^$C$6))))</f>
        <v>0</v>
      </c>
      <c r="E10" s="20">
        <f>IF(C10="","",C10-D10)</f>
        <v>1</v>
      </c>
      <c r="F10" s="26">
        <f t="shared" ref="F10:F73" si="0">IF(E10="","",E10^2)</f>
        <v>1</v>
      </c>
      <c r="G10" s="21"/>
    </row>
    <row r="11" spans="2:17" x14ac:dyDescent="0.15">
      <c r="B11" s="19">
        <f>IF(データ入力!E7="","",データ入力!E7)</f>
        <v>7</v>
      </c>
      <c r="C11" s="19">
        <f>IF(データ入力!G7="","",データ入力!G7)</f>
        <v>67</v>
      </c>
      <c r="D11" s="20">
        <f t="shared" ref="D11:D74" si="1">IF(B11="","",IF(B11=0,0,$C$4*(1-EXP(-$C$5*B11^$C$6))))</f>
        <v>115.57142857142858</v>
      </c>
      <c r="E11" s="20">
        <f>IF(C11="","",C11-D11)</f>
        <v>-48.571428571428584</v>
      </c>
      <c r="F11" s="26">
        <f t="shared" si="0"/>
        <v>2359.1836734693889</v>
      </c>
      <c r="G11" s="21"/>
    </row>
    <row r="12" spans="2:17" x14ac:dyDescent="0.15">
      <c r="B12" s="19">
        <f>IF(データ入力!E8="","",データ入力!E8)</f>
        <v>14</v>
      </c>
      <c r="C12" s="19">
        <f>IF(データ入力!G8="","",データ入力!G8)</f>
        <v>81</v>
      </c>
      <c r="D12" s="20">
        <f t="shared" si="1"/>
        <v>115.57142857142858</v>
      </c>
      <c r="E12" s="20">
        <f t="shared" ref="E12:E75" si="2">IF(C12="","",C12-D12)</f>
        <v>-34.571428571428584</v>
      </c>
      <c r="F12" s="26">
        <f t="shared" si="0"/>
        <v>1195.1836734693886</v>
      </c>
      <c r="G12" s="21"/>
    </row>
    <row r="13" spans="2:17" x14ac:dyDescent="0.15">
      <c r="B13" s="19">
        <f>IF(データ入力!E9="","",データ入力!E9)</f>
        <v>21</v>
      </c>
      <c r="C13" s="19">
        <f>IF(データ入力!G9="","",データ入力!G9)</f>
        <v>99</v>
      </c>
      <c r="D13" s="20">
        <f t="shared" si="1"/>
        <v>115.57142857142858</v>
      </c>
      <c r="E13" s="20">
        <f t="shared" si="2"/>
        <v>-16.571428571428584</v>
      </c>
      <c r="F13" s="26">
        <f t="shared" si="0"/>
        <v>274.61224489795961</v>
      </c>
      <c r="G13" s="21"/>
    </row>
    <row r="14" spans="2:17" x14ac:dyDescent="0.15">
      <c r="B14" s="19">
        <f>IF(データ入力!E10="","",データ入力!E10)</f>
        <v>28</v>
      </c>
      <c r="C14" s="19">
        <f>IF(データ入力!G10="","",データ入力!G10)</f>
        <v>117</v>
      </c>
      <c r="D14" s="20">
        <f t="shared" si="1"/>
        <v>115.57142857142858</v>
      </c>
      <c r="E14" s="20">
        <f t="shared" si="2"/>
        <v>1.4285714285714164</v>
      </c>
      <c r="F14" s="26">
        <f t="shared" si="0"/>
        <v>2.0408163265305777</v>
      </c>
      <c r="G14" s="21"/>
    </row>
    <row r="15" spans="2:17" x14ac:dyDescent="0.15">
      <c r="B15" s="19">
        <f>IF(データ入力!E11="","",データ入力!E11)</f>
        <v>35</v>
      </c>
      <c r="C15" s="19">
        <f>IF(データ入力!G11="","",データ入力!G11)</f>
        <v>132</v>
      </c>
      <c r="D15" s="20">
        <f t="shared" si="1"/>
        <v>115.57142857142858</v>
      </c>
      <c r="E15" s="20">
        <f t="shared" si="2"/>
        <v>16.428571428571416</v>
      </c>
      <c r="F15" s="26">
        <f t="shared" si="0"/>
        <v>269.89795918367309</v>
      </c>
      <c r="G15" s="21"/>
    </row>
    <row r="16" spans="2:17" x14ac:dyDescent="0.15">
      <c r="B16" s="19">
        <f>IF(データ入力!E12="","",データ入力!E12)</f>
        <v>42</v>
      </c>
      <c r="C16" s="19">
        <f>IF(データ入力!G12="","",データ入力!G12)</f>
        <v>147</v>
      </c>
      <c r="D16" s="20">
        <f t="shared" si="1"/>
        <v>115.57142857142858</v>
      </c>
      <c r="E16" s="20">
        <f t="shared" si="2"/>
        <v>31.428571428571416</v>
      </c>
      <c r="F16" s="26">
        <f t="shared" si="0"/>
        <v>987.75510204081559</v>
      </c>
      <c r="G16" s="21"/>
    </row>
    <row r="17" spans="2:7" x14ac:dyDescent="0.15">
      <c r="B17" s="19">
        <f>IF(データ入力!E13="","",データ入力!E13)</f>
        <v>49</v>
      </c>
      <c r="C17" s="19">
        <f>IF(データ入力!G13="","",データ入力!G13)</f>
        <v>166</v>
      </c>
      <c r="D17" s="20">
        <f t="shared" si="1"/>
        <v>115.57142857142858</v>
      </c>
      <c r="E17" s="20">
        <f t="shared" si="2"/>
        <v>50.428571428571416</v>
      </c>
      <c r="F17" s="26">
        <f t="shared" si="0"/>
        <v>2543.0408163265292</v>
      </c>
      <c r="G17" s="21"/>
    </row>
    <row r="18" spans="2:7" x14ac:dyDescent="0.15">
      <c r="B18" s="19" t="str">
        <f>IF(データ入力!E14="","",データ入力!E14)</f>
        <v/>
      </c>
      <c r="C18" s="19" t="str">
        <f>IF(データ入力!G14="","",データ入力!G14)</f>
        <v/>
      </c>
      <c r="D18" s="20" t="str">
        <f t="shared" si="1"/>
        <v/>
      </c>
      <c r="E18" s="20" t="str">
        <f t="shared" si="2"/>
        <v/>
      </c>
      <c r="F18" s="26" t="str">
        <f t="shared" si="0"/>
        <v/>
      </c>
      <c r="G18" s="21"/>
    </row>
    <row r="19" spans="2:7" x14ac:dyDescent="0.15">
      <c r="B19" s="19" t="str">
        <f>IF(データ入力!E15="","",データ入力!E15)</f>
        <v/>
      </c>
      <c r="C19" s="19" t="str">
        <f>IF(データ入力!G15="","",データ入力!G15)</f>
        <v/>
      </c>
      <c r="D19" s="20" t="str">
        <f t="shared" si="1"/>
        <v/>
      </c>
      <c r="E19" s="20" t="str">
        <f t="shared" si="2"/>
        <v/>
      </c>
      <c r="F19" s="26" t="str">
        <f t="shared" si="0"/>
        <v/>
      </c>
      <c r="G19" s="21"/>
    </row>
    <row r="20" spans="2:7" x14ac:dyDescent="0.15">
      <c r="B20" s="19" t="str">
        <f>IF(データ入力!E16="","",データ入力!E16)</f>
        <v/>
      </c>
      <c r="C20" s="19" t="str">
        <f>IF(データ入力!G16="","",データ入力!G16)</f>
        <v/>
      </c>
      <c r="D20" s="20" t="str">
        <f t="shared" si="1"/>
        <v/>
      </c>
      <c r="E20" s="20" t="str">
        <f t="shared" si="2"/>
        <v/>
      </c>
      <c r="F20" s="26" t="str">
        <f t="shared" si="0"/>
        <v/>
      </c>
      <c r="G20" s="21"/>
    </row>
    <row r="21" spans="2:7" x14ac:dyDescent="0.15">
      <c r="B21" s="19" t="str">
        <f>IF(データ入力!E17="","",データ入力!E17)</f>
        <v/>
      </c>
      <c r="C21" s="19" t="str">
        <f>IF(データ入力!G17="","",データ入力!G17)</f>
        <v/>
      </c>
      <c r="D21" s="20" t="str">
        <f t="shared" si="1"/>
        <v/>
      </c>
      <c r="E21" s="20" t="str">
        <f t="shared" si="2"/>
        <v/>
      </c>
      <c r="F21" s="26" t="str">
        <f t="shared" si="0"/>
        <v/>
      </c>
      <c r="G21" s="21"/>
    </row>
    <row r="22" spans="2:7" x14ac:dyDescent="0.15">
      <c r="B22" s="19" t="str">
        <f>IF(データ入力!E18="","",データ入力!E18)</f>
        <v/>
      </c>
      <c r="C22" s="19" t="str">
        <f>IF(データ入力!G18="","",データ入力!G18)</f>
        <v/>
      </c>
      <c r="D22" s="20" t="str">
        <f t="shared" si="1"/>
        <v/>
      </c>
      <c r="E22" s="20" t="str">
        <f t="shared" si="2"/>
        <v/>
      </c>
      <c r="F22" s="26" t="str">
        <f t="shared" si="0"/>
        <v/>
      </c>
      <c r="G22" s="21"/>
    </row>
    <row r="23" spans="2:7" x14ac:dyDescent="0.15">
      <c r="B23" s="19" t="str">
        <f>IF(データ入力!E19="","",データ入力!E19)</f>
        <v/>
      </c>
      <c r="C23" s="19" t="str">
        <f>IF(データ入力!G19="","",データ入力!G19)</f>
        <v/>
      </c>
      <c r="D23" s="20" t="str">
        <f t="shared" si="1"/>
        <v/>
      </c>
      <c r="E23" s="20" t="str">
        <f t="shared" si="2"/>
        <v/>
      </c>
      <c r="F23" s="26" t="str">
        <f t="shared" si="0"/>
        <v/>
      </c>
      <c r="G23" s="21"/>
    </row>
    <row r="24" spans="2:7" x14ac:dyDescent="0.15">
      <c r="B24" s="19" t="str">
        <f>IF(データ入力!E20="","",データ入力!E20)</f>
        <v/>
      </c>
      <c r="C24" s="19" t="str">
        <f>IF(データ入力!G20="","",データ入力!G20)</f>
        <v/>
      </c>
      <c r="D24" s="20" t="str">
        <f t="shared" si="1"/>
        <v/>
      </c>
      <c r="E24" s="20" t="str">
        <f t="shared" si="2"/>
        <v/>
      </c>
      <c r="F24" s="26" t="str">
        <f t="shared" si="0"/>
        <v/>
      </c>
      <c r="G24" s="21"/>
    </row>
    <row r="25" spans="2:7" x14ac:dyDescent="0.15">
      <c r="B25" s="19" t="str">
        <f>IF(データ入力!E21="","",データ入力!E21)</f>
        <v/>
      </c>
      <c r="C25" s="19" t="str">
        <f>IF(データ入力!G21="","",データ入力!G21)</f>
        <v/>
      </c>
      <c r="D25" s="20" t="str">
        <f t="shared" si="1"/>
        <v/>
      </c>
      <c r="E25" s="20" t="str">
        <f t="shared" si="2"/>
        <v/>
      </c>
      <c r="F25" s="26" t="str">
        <f t="shared" si="0"/>
        <v/>
      </c>
      <c r="G25" s="21"/>
    </row>
    <row r="26" spans="2:7" x14ac:dyDescent="0.15">
      <c r="B26" s="19" t="str">
        <f>IF(データ入力!E22="","",データ入力!E22)</f>
        <v/>
      </c>
      <c r="C26" s="19" t="str">
        <f>IF(データ入力!G22="","",データ入力!G22)</f>
        <v/>
      </c>
      <c r="D26" s="20" t="str">
        <f t="shared" si="1"/>
        <v/>
      </c>
      <c r="E26" s="20" t="str">
        <f t="shared" si="2"/>
        <v/>
      </c>
      <c r="F26" s="26" t="str">
        <f t="shared" si="0"/>
        <v/>
      </c>
      <c r="G26" s="21"/>
    </row>
    <row r="27" spans="2:7" x14ac:dyDescent="0.15">
      <c r="B27" s="19" t="str">
        <f>IF(データ入力!E23="","",データ入力!E23)</f>
        <v/>
      </c>
      <c r="C27" s="19" t="str">
        <f>IF(データ入力!G23="","",データ入力!G23)</f>
        <v/>
      </c>
      <c r="D27" s="20" t="str">
        <f t="shared" si="1"/>
        <v/>
      </c>
      <c r="E27" s="20" t="str">
        <f t="shared" si="2"/>
        <v/>
      </c>
      <c r="F27" s="26" t="str">
        <f t="shared" si="0"/>
        <v/>
      </c>
      <c r="G27" s="21"/>
    </row>
    <row r="28" spans="2:7" x14ac:dyDescent="0.15">
      <c r="B28" s="19" t="str">
        <f>IF(データ入力!E24="","",データ入力!E24)</f>
        <v/>
      </c>
      <c r="C28" s="19" t="str">
        <f>IF(データ入力!G24="","",データ入力!G24)</f>
        <v/>
      </c>
      <c r="D28" s="20" t="str">
        <f t="shared" si="1"/>
        <v/>
      </c>
      <c r="E28" s="20" t="str">
        <f t="shared" si="2"/>
        <v/>
      </c>
      <c r="F28" s="26" t="str">
        <f t="shared" si="0"/>
        <v/>
      </c>
      <c r="G28" s="21"/>
    </row>
    <row r="29" spans="2:7" x14ac:dyDescent="0.15">
      <c r="B29" s="19" t="str">
        <f>IF(データ入力!E25="","",データ入力!E25)</f>
        <v/>
      </c>
      <c r="C29" s="19" t="str">
        <f>IF(データ入力!G25="","",データ入力!G25)</f>
        <v/>
      </c>
      <c r="D29" s="20" t="str">
        <f t="shared" si="1"/>
        <v/>
      </c>
      <c r="E29" s="20" t="str">
        <f t="shared" si="2"/>
        <v/>
      </c>
      <c r="F29" s="26" t="str">
        <f t="shared" si="0"/>
        <v/>
      </c>
      <c r="G29" s="21"/>
    </row>
    <row r="30" spans="2:7" x14ac:dyDescent="0.15">
      <c r="B30" s="19" t="str">
        <f>IF(データ入力!E26="","",データ入力!E26)</f>
        <v/>
      </c>
      <c r="C30" s="19" t="str">
        <f>IF(データ入力!G26="","",データ入力!G26)</f>
        <v/>
      </c>
      <c r="D30" s="20" t="str">
        <f t="shared" si="1"/>
        <v/>
      </c>
      <c r="E30" s="20" t="str">
        <f t="shared" si="2"/>
        <v/>
      </c>
      <c r="F30" s="26" t="str">
        <f t="shared" si="0"/>
        <v/>
      </c>
      <c r="G30" s="21"/>
    </row>
    <row r="31" spans="2:7" x14ac:dyDescent="0.15">
      <c r="B31" s="19" t="str">
        <f>IF(データ入力!E27="","",データ入力!E27)</f>
        <v/>
      </c>
      <c r="C31" s="19" t="str">
        <f>IF(データ入力!G27="","",データ入力!G27)</f>
        <v/>
      </c>
      <c r="D31" s="20" t="str">
        <f t="shared" si="1"/>
        <v/>
      </c>
      <c r="E31" s="20" t="str">
        <f t="shared" si="2"/>
        <v/>
      </c>
      <c r="F31" s="26" t="str">
        <f t="shared" si="0"/>
        <v/>
      </c>
      <c r="G31" s="21"/>
    </row>
    <row r="32" spans="2:7" x14ac:dyDescent="0.15">
      <c r="B32" s="19" t="str">
        <f>IF(データ入力!E28="","",データ入力!E28)</f>
        <v/>
      </c>
      <c r="C32" s="19" t="str">
        <f>IF(データ入力!G28="","",データ入力!G28)</f>
        <v/>
      </c>
      <c r="D32" s="20" t="str">
        <f t="shared" si="1"/>
        <v/>
      </c>
      <c r="E32" s="20" t="str">
        <f t="shared" si="2"/>
        <v/>
      </c>
      <c r="F32" s="26" t="str">
        <f t="shared" si="0"/>
        <v/>
      </c>
      <c r="G32" s="21"/>
    </row>
    <row r="33" spans="2:9" x14ac:dyDescent="0.15">
      <c r="B33" s="19" t="str">
        <f>IF(データ入力!E29="","",データ入力!E29)</f>
        <v/>
      </c>
      <c r="C33" s="19" t="str">
        <f>IF(データ入力!G29="","",データ入力!G29)</f>
        <v/>
      </c>
      <c r="D33" s="20" t="str">
        <f t="shared" si="1"/>
        <v/>
      </c>
      <c r="E33" s="20" t="str">
        <f t="shared" si="2"/>
        <v/>
      </c>
      <c r="F33" s="26" t="str">
        <f t="shared" si="0"/>
        <v/>
      </c>
      <c r="G33" s="21"/>
    </row>
    <row r="34" spans="2:9" x14ac:dyDescent="0.15">
      <c r="B34" s="19" t="str">
        <f>IF(データ入力!E30="","",データ入力!E30)</f>
        <v/>
      </c>
      <c r="C34" s="19" t="str">
        <f>IF(データ入力!G30="","",データ入力!G30)</f>
        <v/>
      </c>
      <c r="D34" s="20" t="str">
        <f t="shared" si="1"/>
        <v/>
      </c>
      <c r="E34" s="20" t="str">
        <f t="shared" si="2"/>
        <v/>
      </c>
      <c r="F34" s="26" t="str">
        <f t="shared" si="0"/>
        <v/>
      </c>
      <c r="G34" s="21"/>
      <c r="H34" s="1" t="s">
        <v>37</v>
      </c>
    </row>
    <row r="35" spans="2:9" x14ac:dyDescent="0.15">
      <c r="B35" s="19" t="str">
        <f>IF(データ入力!E31="","",データ入力!E31)</f>
        <v/>
      </c>
      <c r="C35" s="19" t="str">
        <f>IF(データ入力!G31="","",データ入力!G31)</f>
        <v/>
      </c>
      <c r="D35" s="20" t="str">
        <f t="shared" si="1"/>
        <v/>
      </c>
      <c r="E35" s="20" t="str">
        <f t="shared" si="2"/>
        <v/>
      </c>
      <c r="F35" s="26" t="str">
        <f t="shared" si="0"/>
        <v/>
      </c>
      <c r="G35" s="21"/>
      <c r="H35" s="1" t="s">
        <v>35</v>
      </c>
    </row>
    <row r="36" spans="2:9" x14ac:dyDescent="0.15">
      <c r="B36" s="19" t="str">
        <f>IF(データ入力!E32="","",データ入力!E32)</f>
        <v/>
      </c>
      <c r="C36" s="19" t="str">
        <f>IF(データ入力!G32="","",データ入力!G32)</f>
        <v/>
      </c>
      <c r="D36" s="20" t="str">
        <f t="shared" si="1"/>
        <v/>
      </c>
      <c r="E36" s="20" t="str">
        <f t="shared" si="2"/>
        <v/>
      </c>
      <c r="F36" s="26" t="str">
        <f t="shared" si="0"/>
        <v/>
      </c>
      <c r="G36" s="21"/>
      <c r="H36" s="2">
        <v>0</v>
      </c>
      <c r="I36" s="3">
        <f>$H$5</f>
        <v>109.79285714285714</v>
      </c>
    </row>
    <row r="37" spans="2:9" x14ac:dyDescent="0.15">
      <c r="B37" s="19" t="str">
        <f>IF(データ入力!E33="","",データ入力!E33)</f>
        <v/>
      </c>
      <c r="C37" s="19" t="str">
        <f>IF(データ入力!G33="","",データ入力!G33)</f>
        <v/>
      </c>
      <c r="D37" s="20" t="str">
        <f t="shared" si="1"/>
        <v/>
      </c>
      <c r="E37" s="20" t="str">
        <f t="shared" si="2"/>
        <v/>
      </c>
      <c r="F37" s="26" t="str">
        <f t="shared" si="0"/>
        <v/>
      </c>
      <c r="G37" s="21"/>
      <c r="H37" s="2">
        <f>MAX(B10:B109)</f>
        <v>49</v>
      </c>
      <c r="I37" s="3">
        <f>$H$5</f>
        <v>109.79285714285714</v>
      </c>
    </row>
    <row r="38" spans="2:9" x14ac:dyDescent="0.15">
      <c r="B38" s="19" t="str">
        <f>IF(データ入力!E34="","",データ入力!E34)</f>
        <v/>
      </c>
      <c r="C38" s="19" t="str">
        <f>IF(データ入力!G34="","",データ入力!G34)</f>
        <v/>
      </c>
      <c r="D38" s="20" t="str">
        <f t="shared" si="1"/>
        <v/>
      </c>
      <c r="E38" s="20" t="str">
        <f t="shared" si="2"/>
        <v/>
      </c>
      <c r="F38" s="26" t="str">
        <f t="shared" si="0"/>
        <v/>
      </c>
      <c r="G38" s="21"/>
      <c r="H38" s="1" t="s">
        <v>36</v>
      </c>
    </row>
    <row r="39" spans="2:9" x14ac:dyDescent="0.15">
      <c r="B39" s="19" t="str">
        <f>IF(データ入力!E35="","",データ入力!E35)</f>
        <v/>
      </c>
      <c r="C39" s="19" t="str">
        <f>IF(データ入力!G35="","",データ入力!G35)</f>
        <v/>
      </c>
      <c r="D39" s="20" t="str">
        <f t="shared" si="1"/>
        <v/>
      </c>
      <c r="E39" s="20" t="str">
        <f t="shared" si="2"/>
        <v/>
      </c>
      <c r="F39" s="26" t="str">
        <f t="shared" si="0"/>
        <v/>
      </c>
      <c r="G39" s="21"/>
      <c r="H39" s="2">
        <v>0</v>
      </c>
      <c r="I39" s="3">
        <f>$K$5</f>
        <v>114.4157142857143</v>
      </c>
    </row>
    <row r="40" spans="2:9" x14ac:dyDescent="0.15">
      <c r="B40" s="19" t="str">
        <f>IF(データ入力!E36="","",データ入力!E36)</f>
        <v/>
      </c>
      <c r="C40" s="19" t="str">
        <f>IF(データ入力!G36="","",データ入力!G36)</f>
        <v/>
      </c>
      <c r="D40" s="20" t="str">
        <f t="shared" si="1"/>
        <v/>
      </c>
      <c r="E40" s="20" t="str">
        <f t="shared" si="2"/>
        <v/>
      </c>
      <c r="F40" s="26" t="str">
        <f t="shared" si="0"/>
        <v/>
      </c>
      <c r="G40" s="21"/>
      <c r="H40" s="2">
        <f>MAX(B10:B109)</f>
        <v>49</v>
      </c>
      <c r="I40" s="3">
        <f>$K$5</f>
        <v>114.4157142857143</v>
      </c>
    </row>
    <row r="41" spans="2:9" x14ac:dyDescent="0.15">
      <c r="B41" s="19" t="str">
        <f>IF(データ入力!E37="","",データ入力!E37)</f>
        <v/>
      </c>
      <c r="C41" s="19" t="str">
        <f>IF(データ入力!G37="","",データ入力!G37)</f>
        <v/>
      </c>
      <c r="D41" s="20" t="str">
        <f t="shared" si="1"/>
        <v/>
      </c>
      <c r="E41" s="20" t="str">
        <f t="shared" si="2"/>
        <v/>
      </c>
      <c r="F41" s="26" t="str">
        <f t="shared" si="0"/>
        <v/>
      </c>
      <c r="G41" s="21"/>
    </row>
    <row r="42" spans="2:9" x14ac:dyDescent="0.15">
      <c r="B42" s="19" t="str">
        <f>IF(データ入力!E38="","",データ入力!E38)</f>
        <v/>
      </c>
      <c r="C42" s="19" t="str">
        <f>IF(データ入力!G38="","",データ入力!G38)</f>
        <v/>
      </c>
      <c r="D42" s="20" t="str">
        <f t="shared" si="1"/>
        <v/>
      </c>
      <c r="E42" s="20" t="str">
        <f t="shared" si="2"/>
        <v/>
      </c>
      <c r="F42" s="26" t="str">
        <f t="shared" si="0"/>
        <v/>
      </c>
      <c r="G42" s="21"/>
    </row>
    <row r="43" spans="2:9" x14ac:dyDescent="0.15">
      <c r="B43" s="19" t="str">
        <f>IF(データ入力!E39="","",データ入力!E39)</f>
        <v/>
      </c>
      <c r="C43" s="19" t="str">
        <f>IF(データ入力!G39="","",データ入力!G39)</f>
        <v/>
      </c>
      <c r="D43" s="20" t="str">
        <f t="shared" si="1"/>
        <v/>
      </c>
      <c r="E43" s="20" t="str">
        <f t="shared" si="2"/>
        <v/>
      </c>
      <c r="F43" s="26" t="str">
        <f t="shared" si="0"/>
        <v/>
      </c>
      <c r="G43" s="21"/>
    </row>
    <row r="44" spans="2:9" x14ac:dyDescent="0.15">
      <c r="B44" s="19" t="str">
        <f>IF(データ入力!E40="","",データ入力!E40)</f>
        <v/>
      </c>
      <c r="C44" s="19" t="str">
        <f>IF(データ入力!G40="","",データ入力!G40)</f>
        <v/>
      </c>
      <c r="D44" s="20" t="str">
        <f t="shared" si="1"/>
        <v/>
      </c>
      <c r="E44" s="20" t="str">
        <f t="shared" si="2"/>
        <v/>
      </c>
      <c r="F44" s="26" t="str">
        <f t="shared" si="0"/>
        <v/>
      </c>
      <c r="G44" s="21"/>
    </row>
    <row r="45" spans="2:9" x14ac:dyDescent="0.15">
      <c r="B45" s="19" t="str">
        <f>IF(データ入力!E41="","",データ入力!E41)</f>
        <v/>
      </c>
      <c r="C45" s="19" t="str">
        <f>IF(データ入力!G41="","",データ入力!G41)</f>
        <v/>
      </c>
      <c r="D45" s="20" t="str">
        <f t="shared" si="1"/>
        <v/>
      </c>
      <c r="E45" s="20" t="str">
        <f t="shared" si="2"/>
        <v/>
      </c>
      <c r="F45" s="26" t="str">
        <f t="shared" si="0"/>
        <v/>
      </c>
      <c r="G45" s="21"/>
    </row>
    <row r="46" spans="2:9" x14ac:dyDescent="0.15">
      <c r="B46" s="19" t="str">
        <f>IF(データ入力!E42="","",データ入力!E42)</f>
        <v/>
      </c>
      <c r="C46" s="19" t="str">
        <f>IF(データ入力!G42="","",データ入力!G42)</f>
        <v/>
      </c>
      <c r="D46" s="20" t="str">
        <f t="shared" si="1"/>
        <v/>
      </c>
      <c r="E46" s="20" t="str">
        <f t="shared" si="2"/>
        <v/>
      </c>
      <c r="F46" s="26" t="str">
        <f t="shared" si="0"/>
        <v/>
      </c>
      <c r="G46" s="21"/>
    </row>
    <row r="47" spans="2:9" x14ac:dyDescent="0.15">
      <c r="B47" s="19" t="str">
        <f>IF(データ入力!E43="","",データ入力!E43)</f>
        <v/>
      </c>
      <c r="C47" s="19" t="str">
        <f>IF(データ入力!G43="","",データ入力!G43)</f>
        <v/>
      </c>
      <c r="D47" s="20" t="str">
        <f t="shared" si="1"/>
        <v/>
      </c>
      <c r="E47" s="20" t="str">
        <f t="shared" si="2"/>
        <v/>
      </c>
      <c r="F47" s="26" t="str">
        <f t="shared" si="0"/>
        <v/>
      </c>
      <c r="G47" s="21"/>
    </row>
    <row r="48" spans="2:9" x14ac:dyDescent="0.15">
      <c r="B48" s="19" t="str">
        <f>IF(データ入力!E44="","",データ入力!E44)</f>
        <v/>
      </c>
      <c r="C48" s="19" t="str">
        <f>IF(データ入力!G44="","",データ入力!G44)</f>
        <v/>
      </c>
      <c r="D48" s="20" t="str">
        <f t="shared" si="1"/>
        <v/>
      </c>
      <c r="E48" s="20" t="str">
        <f t="shared" si="2"/>
        <v/>
      </c>
      <c r="F48" s="26" t="str">
        <f t="shared" si="0"/>
        <v/>
      </c>
      <c r="G48" s="21"/>
    </row>
    <row r="49" spans="2:7" x14ac:dyDescent="0.15">
      <c r="B49" s="19" t="str">
        <f>IF(データ入力!E45="","",データ入力!E45)</f>
        <v/>
      </c>
      <c r="C49" s="19" t="str">
        <f>IF(データ入力!G45="","",データ入力!G45)</f>
        <v/>
      </c>
      <c r="D49" s="20" t="str">
        <f t="shared" si="1"/>
        <v/>
      </c>
      <c r="E49" s="20" t="str">
        <f t="shared" si="2"/>
        <v/>
      </c>
      <c r="F49" s="26" t="str">
        <f t="shared" si="0"/>
        <v/>
      </c>
      <c r="G49" s="21"/>
    </row>
    <row r="50" spans="2:7" x14ac:dyDescent="0.15">
      <c r="B50" s="19" t="str">
        <f>IF(データ入力!E46="","",データ入力!E46)</f>
        <v/>
      </c>
      <c r="C50" s="19" t="str">
        <f>IF(データ入力!G46="","",データ入力!G46)</f>
        <v/>
      </c>
      <c r="D50" s="20" t="str">
        <f t="shared" si="1"/>
        <v/>
      </c>
      <c r="E50" s="20" t="str">
        <f t="shared" si="2"/>
        <v/>
      </c>
      <c r="F50" s="26" t="str">
        <f t="shared" si="0"/>
        <v/>
      </c>
      <c r="G50" s="21"/>
    </row>
    <row r="51" spans="2:7" x14ac:dyDescent="0.15">
      <c r="B51" s="19" t="str">
        <f>IF(データ入力!E47="","",データ入力!E47)</f>
        <v/>
      </c>
      <c r="C51" s="19" t="str">
        <f>IF(データ入力!G47="","",データ入力!G47)</f>
        <v/>
      </c>
      <c r="D51" s="20" t="str">
        <f t="shared" si="1"/>
        <v/>
      </c>
      <c r="E51" s="20" t="str">
        <f t="shared" si="2"/>
        <v/>
      </c>
      <c r="F51" s="26" t="str">
        <f t="shared" si="0"/>
        <v/>
      </c>
      <c r="G51" s="21"/>
    </row>
    <row r="52" spans="2:7" x14ac:dyDescent="0.15">
      <c r="B52" s="19" t="str">
        <f>IF(データ入力!E48="","",データ入力!E48)</f>
        <v/>
      </c>
      <c r="C52" s="19" t="str">
        <f>IF(データ入力!G48="","",データ入力!G48)</f>
        <v/>
      </c>
      <c r="D52" s="20" t="str">
        <f t="shared" si="1"/>
        <v/>
      </c>
      <c r="E52" s="20" t="str">
        <f t="shared" si="2"/>
        <v/>
      </c>
      <c r="F52" s="26" t="str">
        <f t="shared" si="0"/>
        <v/>
      </c>
      <c r="G52" s="21"/>
    </row>
    <row r="53" spans="2:7" x14ac:dyDescent="0.15">
      <c r="B53" s="19" t="str">
        <f>IF(データ入力!E49="","",データ入力!E49)</f>
        <v/>
      </c>
      <c r="C53" s="19" t="str">
        <f>IF(データ入力!G49="","",データ入力!G49)</f>
        <v/>
      </c>
      <c r="D53" s="20" t="str">
        <f t="shared" si="1"/>
        <v/>
      </c>
      <c r="E53" s="20" t="str">
        <f t="shared" si="2"/>
        <v/>
      </c>
      <c r="F53" s="26" t="str">
        <f t="shared" si="0"/>
        <v/>
      </c>
      <c r="G53" s="21"/>
    </row>
    <row r="54" spans="2:7" x14ac:dyDescent="0.15">
      <c r="B54" s="19" t="str">
        <f>IF(データ入力!E50="","",データ入力!E50)</f>
        <v/>
      </c>
      <c r="C54" s="19" t="str">
        <f>IF(データ入力!G50="","",データ入力!G50)</f>
        <v/>
      </c>
      <c r="D54" s="20" t="str">
        <f t="shared" si="1"/>
        <v/>
      </c>
      <c r="E54" s="20" t="str">
        <f t="shared" si="2"/>
        <v/>
      </c>
      <c r="F54" s="26" t="str">
        <f t="shared" si="0"/>
        <v/>
      </c>
      <c r="G54" s="21"/>
    </row>
    <row r="55" spans="2:7" x14ac:dyDescent="0.15">
      <c r="B55" s="19" t="str">
        <f>IF(データ入力!E51="","",データ入力!E51)</f>
        <v/>
      </c>
      <c r="C55" s="19" t="str">
        <f>IF(データ入力!G51="","",データ入力!G51)</f>
        <v/>
      </c>
      <c r="D55" s="20" t="str">
        <f t="shared" si="1"/>
        <v/>
      </c>
      <c r="E55" s="20" t="str">
        <f t="shared" si="2"/>
        <v/>
      </c>
      <c r="F55" s="26" t="str">
        <f t="shared" si="0"/>
        <v/>
      </c>
      <c r="G55" s="21"/>
    </row>
    <row r="56" spans="2:7" x14ac:dyDescent="0.15">
      <c r="B56" s="19" t="str">
        <f>IF(データ入力!E52="","",データ入力!E52)</f>
        <v/>
      </c>
      <c r="C56" s="19" t="str">
        <f>IF(データ入力!G52="","",データ入力!G52)</f>
        <v/>
      </c>
      <c r="D56" s="20" t="str">
        <f t="shared" si="1"/>
        <v/>
      </c>
      <c r="E56" s="20" t="str">
        <f t="shared" si="2"/>
        <v/>
      </c>
      <c r="F56" s="26" t="str">
        <f t="shared" si="0"/>
        <v/>
      </c>
      <c r="G56" s="21"/>
    </row>
    <row r="57" spans="2:7" x14ac:dyDescent="0.15">
      <c r="B57" s="19" t="str">
        <f>IF(データ入力!E53="","",データ入力!E53)</f>
        <v/>
      </c>
      <c r="C57" s="19" t="str">
        <f>IF(データ入力!G53="","",データ入力!G53)</f>
        <v/>
      </c>
      <c r="D57" s="20" t="str">
        <f t="shared" si="1"/>
        <v/>
      </c>
      <c r="E57" s="20" t="str">
        <f t="shared" si="2"/>
        <v/>
      </c>
      <c r="F57" s="26" t="str">
        <f t="shared" si="0"/>
        <v/>
      </c>
      <c r="G57" s="21"/>
    </row>
    <row r="58" spans="2:7" x14ac:dyDescent="0.15">
      <c r="B58" s="19" t="str">
        <f>IF(データ入力!E54="","",データ入力!E54)</f>
        <v/>
      </c>
      <c r="C58" s="19" t="str">
        <f>IF(データ入力!G54="","",データ入力!G54)</f>
        <v/>
      </c>
      <c r="D58" s="20" t="str">
        <f t="shared" si="1"/>
        <v/>
      </c>
      <c r="E58" s="20" t="str">
        <f t="shared" si="2"/>
        <v/>
      </c>
      <c r="F58" s="26" t="str">
        <f t="shared" si="0"/>
        <v/>
      </c>
      <c r="G58" s="21"/>
    </row>
    <row r="59" spans="2:7" x14ac:dyDescent="0.15">
      <c r="B59" s="19" t="str">
        <f>IF(データ入力!E55="","",データ入力!E55)</f>
        <v/>
      </c>
      <c r="C59" s="19" t="str">
        <f>IF(データ入力!G55="","",データ入力!G55)</f>
        <v/>
      </c>
      <c r="D59" s="20" t="str">
        <f t="shared" si="1"/>
        <v/>
      </c>
      <c r="E59" s="20" t="str">
        <f t="shared" si="2"/>
        <v/>
      </c>
      <c r="F59" s="26" t="str">
        <f t="shared" si="0"/>
        <v/>
      </c>
      <c r="G59" s="21"/>
    </row>
    <row r="60" spans="2:7" x14ac:dyDescent="0.15">
      <c r="B60" s="19" t="str">
        <f>IF(データ入力!E56="","",データ入力!E56)</f>
        <v/>
      </c>
      <c r="C60" s="19" t="str">
        <f>IF(データ入力!G56="","",データ入力!G56)</f>
        <v/>
      </c>
      <c r="D60" s="20" t="str">
        <f t="shared" si="1"/>
        <v/>
      </c>
      <c r="E60" s="20" t="str">
        <f t="shared" si="2"/>
        <v/>
      </c>
      <c r="F60" s="26" t="str">
        <f t="shared" si="0"/>
        <v/>
      </c>
      <c r="G60" s="21"/>
    </row>
    <row r="61" spans="2:7" x14ac:dyDescent="0.15">
      <c r="B61" s="19" t="str">
        <f>IF(データ入力!E57="","",データ入力!E57)</f>
        <v/>
      </c>
      <c r="C61" s="19" t="str">
        <f>IF(データ入力!G57="","",データ入力!G57)</f>
        <v/>
      </c>
      <c r="D61" s="20" t="str">
        <f t="shared" si="1"/>
        <v/>
      </c>
      <c r="E61" s="20" t="str">
        <f t="shared" si="2"/>
        <v/>
      </c>
      <c r="F61" s="26" t="str">
        <f t="shared" si="0"/>
        <v/>
      </c>
      <c r="G61" s="21"/>
    </row>
    <row r="62" spans="2:7" x14ac:dyDescent="0.15">
      <c r="B62" s="19" t="str">
        <f>IF(データ入力!E58="","",データ入力!E58)</f>
        <v/>
      </c>
      <c r="C62" s="19" t="str">
        <f>IF(データ入力!G58="","",データ入力!G58)</f>
        <v/>
      </c>
      <c r="D62" s="20" t="str">
        <f t="shared" si="1"/>
        <v/>
      </c>
      <c r="E62" s="20" t="str">
        <f t="shared" si="2"/>
        <v/>
      </c>
      <c r="F62" s="26" t="str">
        <f t="shared" si="0"/>
        <v/>
      </c>
      <c r="G62" s="21"/>
    </row>
    <row r="63" spans="2:7" x14ac:dyDescent="0.15">
      <c r="B63" s="19" t="str">
        <f>IF(データ入力!E59="","",データ入力!E59)</f>
        <v/>
      </c>
      <c r="C63" s="19" t="str">
        <f>IF(データ入力!G59="","",データ入力!G59)</f>
        <v/>
      </c>
      <c r="D63" s="20" t="str">
        <f t="shared" si="1"/>
        <v/>
      </c>
      <c r="E63" s="20" t="str">
        <f t="shared" si="2"/>
        <v/>
      </c>
      <c r="F63" s="26" t="str">
        <f t="shared" si="0"/>
        <v/>
      </c>
      <c r="G63" s="21"/>
    </row>
    <row r="64" spans="2:7" x14ac:dyDescent="0.15">
      <c r="B64" s="19" t="str">
        <f>IF(データ入力!E60="","",データ入力!E60)</f>
        <v/>
      </c>
      <c r="C64" s="19" t="str">
        <f>IF(データ入力!G60="","",データ入力!G60)</f>
        <v/>
      </c>
      <c r="D64" s="20" t="str">
        <f t="shared" si="1"/>
        <v/>
      </c>
      <c r="E64" s="20" t="str">
        <f t="shared" si="2"/>
        <v/>
      </c>
      <c r="F64" s="26" t="str">
        <f t="shared" si="0"/>
        <v/>
      </c>
      <c r="G64" s="21"/>
    </row>
    <row r="65" spans="2:7" x14ac:dyDescent="0.15">
      <c r="B65" s="19" t="str">
        <f>IF(データ入力!E61="","",データ入力!E61)</f>
        <v/>
      </c>
      <c r="C65" s="19" t="str">
        <f>IF(データ入力!G61="","",データ入力!G61)</f>
        <v/>
      </c>
      <c r="D65" s="20" t="str">
        <f t="shared" si="1"/>
        <v/>
      </c>
      <c r="E65" s="20" t="str">
        <f t="shared" si="2"/>
        <v/>
      </c>
      <c r="F65" s="26" t="str">
        <f t="shared" si="0"/>
        <v/>
      </c>
      <c r="G65" s="21"/>
    </row>
    <row r="66" spans="2:7" x14ac:dyDescent="0.15">
      <c r="B66" s="19" t="str">
        <f>IF(データ入力!E62="","",データ入力!E62)</f>
        <v/>
      </c>
      <c r="C66" s="19" t="str">
        <f>IF(データ入力!G62="","",データ入力!G62)</f>
        <v/>
      </c>
      <c r="D66" s="20" t="str">
        <f t="shared" si="1"/>
        <v/>
      </c>
      <c r="E66" s="20" t="str">
        <f t="shared" si="2"/>
        <v/>
      </c>
      <c r="F66" s="26" t="str">
        <f t="shared" si="0"/>
        <v/>
      </c>
      <c r="G66" s="21"/>
    </row>
    <row r="67" spans="2:7" x14ac:dyDescent="0.15">
      <c r="B67" s="19" t="str">
        <f>IF(データ入力!E63="","",データ入力!E63)</f>
        <v/>
      </c>
      <c r="C67" s="19" t="str">
        <f>IF(データ入力!G63="","",データ入力!G63)</f>
        <v/>
      </c>
      <c r="D67" s="20" t="str">
        <f t="shared" si="1"/>
        <v/>
      </c>
      <c r="E67" s="20" t="str">
        <f t="shared" si="2"/>
        <v/>
      </c>
      <c r="F67" s="26" t="str">
        <f t="shared" si="0"/>
        <v/>
      </c>
      <c r="G67" s="21"/>
    </row>
    <row r="68" spans="2:7" x14ac:dyDescent="0.15">
      <c r="B68" s="19" t="str">
        <f>IF(データ入力!E64="","",データ入力!E64)</f>
        <v/>
      </c>
      <c r="C68" s="19" t="str">
        <f>IF(データ入力!G64="","",データ入力!G64)</f>
        <v/>
      </c>
      <c r="D68" s="20" t="str">
        <f t="shared" si="1"/>
        <v/>
      </c>
      <c r="E68" s="20" t="str">
        <f t="shared" si="2"/>
        <v/>
      </c>
      <c r="F68" s="26" t="str">
        <f t="shared" si="0"/>
        <v/>
      </c>
      <c r="G68" s="21"/>
    </row>
    <row r="69" spans="2:7" x14ac:dyDescent="0.15">
      <c r="B69" s="19" t="str">
        <f>IF(データ入力!E65="","",データ入力!E65)</f>
        <v/>
      </c>
      <c r="C69" s="19" t="str">
        <f>IF(データ入力!G65="","",データ入力!G65)</f>
        <v/>
      </c>
      <c r="D69" s="20" t="str">
        <f t="shared" si="1"/>
        <v/>
      </c>
      <c r="E69" s="20" t="str">
        <f t="shared" si="2"/>
        <v/>
      </c>
      <c r="F69" s="26" t="str">
        <f t="shared" si="0"/>
        <v/>
      </c>
      <c r="G69" s="21"/>
    </row>
    <row r="70" spans="2:7" x14ac:dyDescent="0.15">
      <c r="B70" s="19" t="str">
        <f>IF(データ入力!E66="","",データ入力!E66)</f>
        <v/>
      </c>
      <c r="C70" s="19" t="str">
        <f>IF(データ入力!G66="","",データ入力!G66)</f>
        <v/>
      </c>
      <c r="D70" s="20" t="str">
        <f t="shared" si="1"/>
        <v/>
      </c>
      <c r="E70" s="20" t="str">
        <f t="shared" si="2"/>
        <v/>
      </c>
      <c r="F70" s="26" t="str">
        <f t="shared" si="0"/>
        <v/>
      </c>
      <c r="G70" s="21"/>
    </row>
    <row r="71" spans="2:7" x14ac:dyDescent="0.15">
      <c r="B71" s="19" t="str">
        <f>IF(データ入力!E67="","",データ入力!E67)</f>
        <v/>
      </c>
      <c r="C71" s="19" t="str">
        <f>IF(データ入力!G67="","",データ入力!G67)</f>
        <v/>
      </c>
      <c r="D71" s="20" t="str">
        <f t="shared" si="1"/>
        <v/>
      </c>
      <c r="E71" s="20" t="str">
        <f t="shared" si="2"/>
        <v/>
      </c>
      <c r="F71" s="26" t="str">
        <f t="shared" si="0"/>
        <v/>
      </c>
      <c r="G71" s="21"/>
    </row>
    <row r="72" spans="2:7" x14ac:dyDescent="0.15">
      <c r="B72" s="19" t="str">
        <f>IF(データ入力!E68="","",データ入力!E68)</f>
        <v/>
      </c>
      <c r="C72" s="19" t="str">
        <f>IF(データ入力!G68="","",データ入力!G68)</f>
        <v/>
      </c>
      <c r="D72" s="20" t="str">
        <f t="shared" si="1"/>
        <v/>
      </c>
      <c r="E72" s="20" t="str">
        <f t="shared" si="2"/>
        <v/>
      </c>
      <c r="F72" s="26" t="str">
        <f t="shared" si="0"/>
        <v/>
      </c>
      <c r="G72" s="21"/>
    </row>
    <row r="73" spans="2:7" x14ac:dyDescent="0.15">
      <c r="B73" s="19" t="str">
        <f>IF(データ入力!E69="","",データ入力!E69)</f>
        <v/>
      </c>
      <c r="C73" s="19" t="str">
        <f>IF(データ入力!G69="","",データ入力!G69)</f>
        <v/>
      </c>
      <c r="D73" s="20" t="str">
        <f t="shared" si="1"/>
        <v/>
      </c>
      <c r="E73" s="20" t="str">
        <f t="shared" si="2"/>
        <v/>
      </c>
      <c r="F73" s="26" t="str">
        <f t="shared" si="0"/>
        <v/>
      </c>
      <c r="G73" s="21"/>
    </row>
    <row r="74" spans="2:7" x14ac:dyDescent="0.15">
      <c r="B74" s="19" t="str">
        <f>IF(データ入力!E70="","",データ入力!E70)</f>
        <v/>
      </c>
      <c r="C74" s="19" t="str">
        <f>IF(データ入力!G70="","",データ入力!G70)</f>
        <v/>
      </c>
      <c r="D74" s="20" t="str">
        <f t="shared" si="1"/>
        <v/>
      </c>
      <c r="E74" s="20" t="str">
        <f t="shared" si="2"/>
        <v/>
      </c>
      <c r="F74" s="26" t="str">
        <f t="shared" ref="F74:F109" si="3">IF(E74="","",E74^2)</f>
        <v/>
      </c>
      <c r="G74" s="21"/>
    </row>
    <row r="75" spans="2:7" x14ac:dyDescent="0.15">
      <c r="B75" s="19" t="str">
        <f>IF(データ入力!E71="","",データ入力!E71)</f>
        <v/>
      </c>
      <c r="C75" s="19" t="str">
        <f>IF(データ入力!G71="","",データ入力!G71)</f>
        <v/>
      </c>
      <c r="D75" s="20" t="str">
        <f t="shared" ref="D75:D109" si="4">IF(B75="","",IF(B75=0,0,$C$4*(1-EXP(-$C$5*B75^$C$6))))</f>
        <v/>
      </c>
      <c r="E75" s="20" t="str">
        <f t="shared" si="2"/>
        <v/>
      </c>
      <c r="F75" s="26" t="str">
        <f t="shared" si="3"/>
        <v/>
      </c>
      <c r="G75" s="21"/>
    </row>
    <row r="76" spans="2:7" x14ac:dyDescent="0.15">
      <c r="B76" s="19" t="str">
        <f>IF(データ入力!E72="","",データ入力!E72)</f>
        <v/>
      </c>
      <c r="C76" s="19" t="str">
        <f>IF(データ入力!G72="","",データ入力!G72)</f>
        <v/>
      </c>
      <c r="D76" s="20" t="str">
        <f t="shared" si="4"/>
        <v/>
      </c>
      <c r="E76" s="20" t="str">
        <f>IF(C76="","",C76-D76)</f>
        <v/>
      </c>
      <c r="F76" s="26" t="str">
        <f t="shared" si="3"/>
        <v/>
      </c>
      <c r="G76" s="21"/>
    </row>
    <row r="77" spans="2:7" x14ac:dyDescent="0.15">
      <c r="B77" s="19" t="str">
        <f>IF(データ入力!E73="","",データ入力!E73)</f>
        <v/>
      </c>
      <c r="C77" s="19" t="str">
        <f>IF(データ入力!G73="","",データ入力!G73)</f>
        <v/>
      </c>
      <c r="D77" s="20" t="str">
        <f t="shared" si="4"/>
        <v/>
      </c>
      <c r="E77" s="20" t="str">
        <f>IF(C77="","",C77-D77)</f>
        <v/>
      </c>
      <c r="F77" s="26" t="str">
        <f t="shared" si="3"/>
        <v/>
      </c>
      <c r="G77" s="21"/>
    </row>
    <row r="78" spans="2:7" x14ac:dyDescent="0.15">
      <c r="B78" s="19" t="str">
        <f>IF(データ入力!E74="","",データ入力!E74)</f>
        <v/>
      </c>
      <c r="C78" s="19" t="str">
        <f>IF(データ入力!G74="","",データ入力!G74)</f>
        <v/>
      </c>
      <c r="D78" s="20" t="str">
        <f t="shared" si="4"/>
        <v/>
      </c>
      <c r="E78" s="20" t="str">
        <f>IF(C78="","",C78-D78)</f>
        <v/>
      </c>
      <c r="F78" s="26" t="str">
        <f t="shared" si="3"/>
        <v/>
      </c>
      <c r="G78" s="21"/>
    </row>
    <row r="79" spans="2:7" x14ac:dyDescent="0.15">
      <c r="B79" s="19" t="str">
        <f>IF(データ入力!E75="","",データ入力!E75)</f>
        <v/>
      </c>
      <c r="C79" s="19" t="str">
        <f>IF(データ入力!G75="","",データ入力!G75)</f>
        <v/>
      </c>
      <c r="D79" s="20" t="str">
        <f t="shared" si="4"/>
        <v/>
      </c>
      <c r="E79" s="20" t="str">
        <f>IF(C79="","",C79-D79)</f>
        <v/>
      </c>
      <c r="F79" s="26" t="str">
        <f t="shared" si="3"/>
        <v/>
      </c>
      <c r="G79" s="21"/>
    </row>
    <row r="80" spans="2:7" x14ac:dyDescent="0.15">
      <c r="B80" s="19" t="str">
        <f>IF(データ入力!E76="","",データ入力!E76)</f>
        <v/>
      </c>
      <c r="C80" s="19" t="str">
        <f>IF(データ入力!G76="","",データ入力!G76)</f>
        <v/>
      </c>
      <c r="D80" s="20" t="str">
        <f t="shared" si="4"/>
        <v/>
      </c>
      <c r="E80" s="20" t="str">
        <f t="shared" ref="E80:E109" si="5">IF(C80="","",C80-D80)</f>
        <v/>
      </c>
      <c r="F80" s="26" t="str">
        <f t="shared" si="3"/>
        <v/>
      </c>
      <c r="G80" s="21"/>
    </row>
    <row r="81" spans="2:7" x14ac:dyDescent="0.15">
      <c r="B81" s="19" t="str">
        <f>IF(データ入力!E77="","",データ入力!E77)</f>
        <v/>
      </c>
      <c r="C81" s="19" t="str">
        <f>IF(データ入力!G77="","",データ入力!G77)</f>
        <v/>
      </c>
      <c r="D81" s="20" t="str">
        <f t="shared" si="4"/>
        <v/>
      </c>
      <c r="E81" s="20" t="str">
        <f t="shared" si="5"/>
        <v/>
      </c>
      <c r="F81" s="26" t="str">
        <f t="shared" si="3"/>
        <v/>
      </c>
      <c r="G81" s="21"/>
    </row>
    <row r="82" spans="2:7" x14ac:dyDescent="0.15">
      <c r="B82" s="19" t="str">
        <f>IF(データ入力!E78="","",データ入力!E78)</f>
        <v/>
      </c>
      <c r="C82" s="19" t="str">
        <f>IF(データ入力!G78="","",データ入力!G78)</f>
        <v/>
      </c>
      <c r="D82" s="20" t="str">
        <f t="shared" si="4"/>
        <v/>
      </c>
      <c r="E82" s="20" t="str">
        <f t="shared" si="5"/>
        <v/>
      </c>
      <c r="F82" s="26" t="str">
        <f t="shared" si="3"/>
        <v/>
      </c>
      <c r="G82" s="21"/>
    </row>
    <row r="83" spans="2:7" x14ac:dyDescent="0.15">
      <c r="B83" s="19" t="str">
        <f>IF(データ入力!E79="","",データ入力!E79)</f>
        <v/>
      </c>
      <c r="C83" s="19" t="str">
        <f>IF(データ入力!G79="","",データ入力!G79)</f>
        <v/>
      </c>
      <c r="D83" s="20" t="str">
        <f t="shared" si="4"/>
        <v/>
      </c>
      <c r="E83" s="20" t="str">
        <f t="shared" si="5"/>
        <v/>
      </c>
      <c r="F83" s="26" t="str">
        <f t="shared" si="3"/>
        <v/>
      </c>
      <c r="G83" s="21"/>
    </row>
    <row r="84" spans="2:7" x14ac:dyDescent="0.15">
      <c r="B84" s="19" t="str">
        <f>IF(データ入力!E80="","",データ入力!E80)</f>
        <v/>
      </c>
      <c r="C84" s="19" t="str">
        <f>IF(データ入力!G80="","",データ入力!G80)</f>
        <v/>
      </c>
      <c r="D84" s="20" t="str">
        <f t="shared" si="4"/>
        <v/>
      </c>
      <c r="E84" s="20" t="str">
        <f t="shared" si="5"/>
        <v/>
      </c>
      <c r="F84" s="26" t="str">
        <f t="shared" si="3"/>
        <v/>
      </c>
      <c r="G84" s="21"/>
    </row>
    <row r="85" spans="2:7" x14ac:dyDescent="0.15">
      <c r="B85" s="19" t="str">
        <f>IF(データ入力!E81="","",データ入力!E81)</f>
        <v/>
      </c>
      <c r="C85" s="19" t="str">
        <f>IF(データ入力!G81="","",データ入力!G81)</f>
        <v/>
      </c>
      <c r="D85" s="20" t="str">
        <f t="shared" si="4"/>
        <v/>
      </c>
      <c r="E85" s="20" t="str">
        <f t="shared" si="5"/>
        <v/>
      </c>
      <c r="F85" s="26" t="str">
        <f t="shared" si="3"/>
        <v/>
      </c>
      <c r="G85" s="21"/>
    </row>
    <row r="86" spans="2:7" x14ac:dyDescent="0.15">
      <c r="B86" s="19" t="str">
        <f>IF(データ入力!E82="","",データ入力!E82)</f>
        <v/>
      </c>
      <c r="C86" s="19" t="str">
        <f>IF(データ入力!G82="","",データ入力!G82)</f>
        <v/>
      </c>
      <c r="D86" s="20" t="str">
        <f t="shared" si="4"/>
        <v/>
      </c>
      <c r="E86" s="20" t="str">
        <f t="shared" si="5"/>
        <v/>
      </c>
      <c r="F86" s="26" t="str">
        <f t="shared" si="3"/>
        <v/>
      </c>
      <c r="G86" s="21"/>
    </row>
    <row r="87" spans="2:7" x14ac:dyDescent="0.15">
      <c r="B87" s="19" t="str">
        <f>IF(データ入力!E83="","",データ入力!E83)</f>
        <v/>
      </c>
      <c r="C87" s="19" t="str">
        <f>IF(データ入力!G83="","",データ入力!G83)</f>
        <v/>
      </c>
      <c r="D87" s="20" t="str">
        <f t="shared" si="4"/>
        <v/>
      </c>
      <c r="E87" s="20" t="str">
        <f t="shared" si="5"/>
        <v/>
      </c>
      <c r="F87" s="26" t="str">
        <f t="shared" si="3"/>
        <v/>
      </c>
      <c r="G87" s="21"/>
    </row>
    <row r="88" spans="2:7" x14ac:dyDescent="0.15">
      <c r="B88" s="19" t="str">
        <f>IF(データ入力!E84="","",データ入力!E84)</f>
        <v/>
      </c>
      <c r="C88" s="19" t="str">
        <f>IF(データ入力!G84="","",データ入力!G84)</f>
        <v/>
      </c>
      <c r="D88" s="20" t="str">
        <f t="shared" si="4"/>
        <v/>
      </c>
      <c r="E88" s="20" t="str">
        <f t="shared" si="5"/>
        <v/>
      </c>
      <c r="F88" s="26" t="str">
        <f t="shared" si="3"/>
        <v/>
      </c>
      <c r="G88" s="21"/>
    </row>
    <row r="89" spans="2:7" x14ac:dyDescent="0.15">
      <c r="B89" s="19" t="str">
        <f>IF(データ入力!E85="","",データ入力!E85)</f>
        <v/>
      </c>
      <c r="C89" s="19" t="str">
        <f>IF(データ入力!G85="","",データ入力!G85)</f>
        <v/>
      </c>
      <c r="D89" s="20" t="str">
        <f t="shared" si="4"/>
        <v/>
      </c>
      <c r="E89" s="20" t="str">
        <f t="shared" si="5"/>
        <v/>
      </c>
      <c r="F89" s="26" t="str">
        <f t="shared" si="3"/>
        <v/>
      </c>
      <c r="G89" s="21"/>
    </row>
    <row r="90" spans="2:7" x14ac:dyDescent="0.15">
      <c r="B90" s="19" t="str">
        <f>IF(データ入力!E86="","",データ入力!E86)</f>
        <v/>
      </c>
      <c r="C90" s="19" t="str">
        <f>IF(データ入力!G86="","",データ入力!G86)</f>
        <v/>
      </c>
      <c r="D90" s="20" t="str">
        <f t="shared" si="4"/>
        <v/>
      </c>
      <c r="E90" s="20" t="str">
        <f t="shared" si="5"/>
        <v/>
      </c>
      <c r="F90" s="26" t="str">
        <f t="shared" si="3"/>
        <v/>
      </c>
      <c r="G90" s="21"/>
    </row>
    <row r="91" spans="2:7" x14ac:dyDescent="0.15">
      <c r="B91" s="19" t="str">
        <f>IF(データ入力!E87="","",データ入力!E87)</f>
        <v/>
      </c>
      <c r="C91" s="19" t="str">
        <f>IF(データ入力!G87="","",データ入力!G87)</f>
        <v/>
      </c>
      <c r="D91" s="20" t="str">
        <f t="shared" si="4"/>
        <v/>
      </c>
      <c r="E91" s="20" t="str">
        <f t="shared" si="5"/>
        <v/>
      </c>
      <c r="F91" s="26" t="str">
        <f t="shared" si="3"/>
        <v/>
      </c>
      <c r="G91" s="21"/>
    </row>
    <row r="92" spans="2:7" x14ac:dyDescent="0.15">
      <c r="B92" s="19" t="str">
        <f>IF(データ入力!E88="","",データ入力!E88)</f>
        <v/>
      </c>
      <c r="C92" s="19" t="str">
        <f>IF(データ入力!G88="","",データ入力!G88)</f>
        <v/>
      </c>
      <c r="D92" s="20" t="str">
        <f t="shared" si="4"/>
        <v/>
      </c>
      <c r="E92" s="20" t="str">
        <f t="shared" si="5"/>
        <v/>
      </c>
      <c r="F92" s="26" t="str">
        <f t="shared" si="3"/>
        <v/>
      </c>
      <c r="G92" s="21"/>
    </row>
    <row r="93" spans="2:7" x14ac:dyDescent="0.15">
      <c r="B93" s="19" t="str">
        <f>IF(データ入力!E89="","",データ入力!E89)</f>
        <v/>
      </c>
      <c r="C93" s="19" t="str">
        <f>IF(データ入力!G89="","",データ入力!G89)</f>
        <v/>
      </c>
      <c r="D93" s="20" t="str">
        <f t="shared" si="4"/>
        <v/>
      </c>
      <c r="E93" s="20" t="str">
        <f t="shared" si="5"/>
        <v/>
      </c>
      <c r="F93" s="26" t="str">
        <f t="shared" si="3"/>
        <v/>
      </c>
      <c r="G93" s="21"/>
    </row>
    <row r="94" spans="2:7" x14ac:dyDescent="0.15">
      <c r="B94" s="19" t="str">
        <f>IF(データ入力!E90="","",データ入力!E90)</f>
        <v/>
      </c>
      <c r="C94" s="19" t="str">
        <f>IF(データ入力!G90="","",データ入力!G90)</f>
        <v/>
      </c>
      <c r="D94" s="20" t="str">
        <f t="shared" si="4"/>
        <v/>
      </c>
      <c r="E94" s="20" t="str">
        <f t="shared" si="5"/>
        <v/>
      </c>
      <c r="F94" s="26" t="str">
        <f t="shared" si="3"/>
        <v/>
      </c>
      <c r="G94" s="21"/>
    </row>
    <row r="95" spans="2:7" x14ac:dyDescent="0.15">
      <c r="B95" s="19" t="str">
        <f>IF(データ入力!E91="","",データ入力!E91)</f>
        <v/>
      </c>
      <c r="C95" s="19" t="str">
        <f>IF(データ入力!G91="","",データ入力!G91)</f>
        <v/>
      </c>
      <c r="D95" s="20" t="str">
        <f t="shared" si="4"/>
        <v/>
      </c>
      <c r="E95" s="20" t="str">
        <f t="shared" si="5"/>
        <v/>
      </c>
      <c r="F95" s="26" t="str">
        <f t="shared" si="3"/>
        <v/>
      </c>
      <c r="G95" s="21"/>
    </row>
    <row r="96" spans="2:7" x14ac:dyDescent="0.15">
      <c r="B96" s="19" t="str">
        <f>IF(データ入力!E92="","",データ入力!E92)</f>
        <v/>
      </c>
      <c r="C96" s="19" t="str">
        <f>IF(データ入力!G92="","",データ入力!G92)</f>
        <v/>
      </c>
      <c r="D96" s="20" t="str">
        <f t="shared" si="4"/>
        <v/>
      </c>
      <c r="E96" s="20" t="str">
        <f t="shared" si="5"/>
        <v/>
      </c>
      <c r="F96" s="26" t="str">
        <f t="shared" si="3"/>
        <v/>
      </c>
      <c r="G96" s="21"/>
    </row>
    <row r="97" spans="2:7" x14ac:dyDescent="0.15">
      <c r="B97" s="19" t="str">
        <f>IF(データ入力!E93="","",データ入力!E93)</f>
        <v/>
      </c>
      <c r="C97" s="19" t="str">
        <f>IF(データ入力!G93="","",データ入力!G93)</f>
        <v/>
      </c>
      <c r="D97" s="20" t="str">
        <f t="shared" si="4"/>
        <v/>
      </c>
      <c r="E97" s="20" t="str">
        <f t="shared" si="5"/>
        <v/>
      </c>
      <c r="F97" s="26" t="str">
        <f t="shared" si="3"/>
        <v/>
      </c>
      <c r="G97" s="21"/>
    </row>
    <row r="98" spans="2:7" x14ac:dyDescent="0.15">
      <c r="B98" s="19" t="str">
        <f>IF(データ入力!E94="","",データ入力!E94)</f>
        <v/>
      </c>
      <c r="C98" s="19" t="str">
        <f>IF(データ入力!G94="","",データ入力!G94)</f>
        <v/>
      </c>
      <c r="D98" s="20" t="str">
        <f t="shared" si="4"/>
        <v/>
      </c>
      <c r="E98" s="20" t="str">
        <f t="shared" si="5"/>
        <v/>
      </c>
      <c r="F98" s="26" t="str">
        <f t="shared" si="3"/>
        <v/>
      </c>
      <c r="G98" s="21"/>
    </row>
    <row r="99" spans="2:7" x14ac:dyDescent="0.15">
      <c r="B99" s="19" t="str">
        <f>IF(データ入力!E95="","",データ入力!E95)</f>
        <v/>
      </c>
      <c r="C99" s="19" t="str">
        <f>IF(データ入力!G95="","",データ入力!G95)</f>
        <v/>
      </c>
      <c r="D99" s="20" t="str">
        <f t="shared" si="4"/>
        <v/>
      </c>
      <c r="E99" s="20" t="str">
        <f t="shared" si="5"/>
        <v/>
      </c>
      <c r="F99" s="26" t="str">
        <f t="shared" si="3"/>
        <v/>
      </c>
      <c r="G99" s="21"/>
    </row>
    <row r="100" spans="2:7" x14ac:dyDescent="0.15">
      <c r="B100" s="19" t="str">
        <f>IF(データ入力!E96="","",データ入力!E96)</f>
        <v/>
      </c>
      <c r="C100" s="19" t="str">
        <f>IF(データ入力!G96="","",データ入力!G96)</f>
        <v/>
      </c>
      <c r="D100" s="20" t="str">
        <f t="shared" si="4"/>
        <v/>
      </c>
      <c r="E100" s="20" t="str">
        <f t="shared" si="5"/>
        <v/>
      </c>
      <c r="F100" s="26" t="str">
        <f t="shared" si="3"/>
        <v/>
      </c>
      <c r="G100" s="21"/>
    </row>
    <row r="101" spans="2:7" x14ac:dyDescent="0.15">
      <c r="B101" s="19" t="str">
        <f>IF(データ入力!E97="","",データ入力!E97)</f>
        <v/>
      </c>
      <c r="C101" s="19" t="str">
        <f>IF(データ入力!G97="","",データ入力!G97)</f>
        <v/>
      </c>
      <c r="D101" s="20" t="str">
        <f t="shared" si="4"/>
        <v/>
      </c>
      <c r="E101" s="20" t="str">
        <f t="shared" si="5"/>
        <v/>
      </c>
      <c r="F101" s="26" t="str">
        <f t="shared" si="3"/>
        <v/>
      </c>
      <c r="G101" s="21"/>
    </row>
    <row r="102" spans="2:7" x14ac:dyDescent="0.15">
      <c r="B102" s="19" t="str">
        <f>IF(データ入力!E98="","",データ入力!E98)</f>
        <v/>
      </c>
      <c r="C102" s="19" t="str">
        <f>IF(データ入力!G98="","",データ入力!G98)</f>
        <v/>
      </c>
      <c r="D102" s="20" t="str">
        <f t="shared" si="4"/>
        <v/>
      </c>
      <c r="E102" s="20" t="str">
        <f t="shared" si="5"/>
        <v/>
      </c>
      <c r="F102" s="26" t="str">
        <f t="shared" si="3"/>
        <v/>
      </c>
      <c r="G102" s="21"/>
    </row>
    <row r="103" spans="2:7" x14ac:dyDescent="0.15">
      <c r="B103" s="19" t="str">
        <f>IF(データ入力!E99="","",データ入力!E99)</f>
        <v/>
      </c>
      <c r="C103" s="19" t="str">
        <f>IF(データ入力!G99="","",データ入力!G99)</f>
        <v/>
      </c>
      <c r="D103" s="20" t="str">
        <f t="shared" si="4"/>
        <v/>
      </c>
      <c r="E103" s="20" t="str">
        <f t="shared" si="5"/>
        <v/>
      </c>
      <c r="F103" s="26" t="str">
        <f t="shared" si="3"/>
        <v/>
      </c>
      <c r="G103" s="21"/>
    </row>
    <row r="104" spans="2:7" x14ac:dyDescent="0.15">
      <c r="B104" s="19" t="str">
        <f>IF(データ入力!E100="","",データ入力!E100)</f>
        <v/>
      </c>
      <c r="C104" s="19" t="str">
        <f>IF(データ入力!G100="","",データ入力!G100)</f>
        <v/>
      </c>
      <c r="D104" s="20" t="str">
        <f t="shared" si="4"/>
        <v/>
      </c>
      <c r="E104" s="20" t="str">
        <f t="shared" si="5"/>
        <v/>
      </c>
      <c r="F104" s="26" t="str">
        <f t="shared" si="3"/>
        <v/>
      </c>
      <c r="G104" s="21"/>
    </row>
    <row r="105" spans="2:7" x14ac:dyDescent="0.15">
      <c r="B105" s="19" t="str">
        <f>IF(データ入力!E101="","",データ入力!E101)</f>
        <v/>
      </c>
      <c r="C105" s="19" t="str">
        <f>IF(データ入力!G101="","",データ入力!G101)</f>
        <v/>
      </c>
      <c r="D105" s="20" t="str">
        <f t="shared" si="4"/>
        <v/>
      </c>
      <c r="E105" s="20" t="str">
        <f t="shared" si="5"/>
        <v/>
      </c>
      <c r="F105" s="26" t="str">
        <f t="shared" si="3"/>
        <v/>
      </c>
      <c r="G105" s="21"/>
    </row>
    <row r="106" spans="2:7" x14ac:dyDescent="0.15">
      <c r="B106" s="19" t="str">
        <f>IF(データ入力!E102="","",データ入力!E102)</f>
        <v/>
      </c>
      <c r="C106" s="19" t="str">
        <f>IF(データ入力!G102="","",データ入力!G102)</f>
        <v/>
      </c>
      <c r="D106" s="20" t="str">
        <f t="shared" si="4"/>
        <v/>
      </c>
      <c r="E106" s="20" t="str">
        <f t="shared" si="5"/>
        <v/>
      </c>
      <c r="F106" s="26" t="str">
        <f t="shared" si="3"/>
        <v/>
      </c>
      <c r="G106" s="21"/>
    </row>
    <row r="107" spans="2:7" x14ac:dyDescent="0.15">
      <c r="B107" s="19" t="str">
        <f>IF(データ入力!E103="","",データ入力!E103)</f>
        <v/>
      </c>
      <c r="C107" s="19" t="str">
        <f>IF(データ入力!G103="","",データ入力!G103)</f>
        <v/>
      </c>
      <c r="D107" s="20" t="str">
        <f t="shared" si="4"/>
        <v/>
      </c>
      <c r="E107" s="20" t="str">
        <f t="shared" si="5"/>
        <v/>
      </c>
      <c r="F107" s="26" t="str">
        <f t="shared" si="3"/>
        <v/>
      </c>
      <c r="G107" s="21"/>
    </row>
    <row r="108" spans="2:7" x14ac:dyDescent="0.15">
      <c r="B108" s="19" t="str">
        <f>IF(データ入力!E104="","",データ入力!E104)</f>
        <v/>
      </c>
      <c r="C108" s="19" t="str">
        <f>IF(データ入力!G104="","",データ入力!G104)</f>
        <v/>
      </c>
      <c r="D108" s="20" t="str">
        <f t="shared" si="4"/>
        <v/>
      </c>
      <c r="E108" s="20" t="str">
        <f t="shared" si="5"/>
        <v/>
      </c>
      <c r="F108" s="26" t="str">
        <f t="shared" si="3"/>
        <v/>
      </c>
      <c r="G108" s="21"/>
    </row>
    <row r="109" spans="2:7" x14ac:dyDescent="0.15">
      <c r="B109" s="19" t="str">
        <f>IF(データ入力!E105="","",データ入力!E105)</f>
        <v/>
      </c>
      <c r="C109" s="19" t="str">
        <f>IF(データ入力!G105="","",データ入力!G105)</f>
        <v/>
      </c>
      <c r="D109" s="20" t="str">
        <f t="shared" si="4"/>
        <v/>
      </c>
      <c r="E109" s="20" t="str">
        <f t="shared" si="5"/>
        <v/>
      </c>
      <c r="F109" s="26" t="str">
        <f t="shared" si="3"/>
        <v/>
      </c>
      <c r="G109" s="21"/>
    </row>
  </sheetData>
  <scenarios current="0">
    <scenario name="srgm_test" count="3" user="Tomi" comment="作成者 : Tomi 日付 : 8/19/2010">
      <inputCells r="C4" val="85.2303964347601"/>
      <inputCells r="C5" val="12.4553706530314"/>
      <inputCells r="C6" val="0.986959959300145"/>
    </scenario>
  </scenarios>
  <mergeCells count="2">
    <mergeCell ref="E4:F4"/>
    <mergeCell ref="E5:F5"/>
  </mergeCells>
  <phoneticPr fontId="2"/>
  <pageMargins left="0.39370078740157483" right="0.39370078740157483" top="0.59055118110236227" bottom="0.59055118110236227" header="0.51181102362204722" footer="0.51181102362204722"/>
  <pageSetup paperSize="9" scale="80" orientation="landscape" r:id="rId1"/>
  <headerFooter alignWithMargins="0"/>
  <drawing r:id="rId2"/>
  <legacyDrawing r:id="rId3"/>
  <controls>
    <mc:AlternateContent xmlns:mc="http://schemas.openxmlformats.org/markup-compatibility/2006">
      <mc:Choice Requires="x14">
        <control shapeId="16385" r:id="rId4" name="CommandButton1">
          <controlPr defaultSize="0" autoLine="0" r:id="rId5">
            <anchor moveWithCells="1">
              <from>
                <xdr:col>6</xdr:col>
                <xdr:colOff>114300</xdr:colOff>
                <xdr:row>5</xdr:row>
                <xdr:rowOff>57150</xdr:rowOff>
              </from>
              <to>
                <xdr:col>6</xdr:col>
                <xdr:colOff>885825</xdr:colOff>
                <xdr:row>6</xdr:row>
                <xdr:rowOff>142875</xdr:rowOff>
              </to>
            </anchor>
          </controlPr>
        </control>
      </mc:Choice>
      <mc:Fallback>
        <control shapeId="16385" r:id="rId4"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Q109"/>
  <sheetViews>
    <sheetView zoomScaleNormal="100" workbookViewId="0"/>
  </sheetViews>
  <sheetFormatPr defaultRowHeight="13.5" x14ac:dyDescent="0.15"/>
  <cols>
    <col min="1" max="1" width="2.625" style="1" customWidth="1"/>
    <col min="2" max="7" width="13.25" style="1" customWidth="1"/>
    <col min="8" max="9" width="9.5" style="1" customWidth="1"/>
    <col min="10" max="10" width="3.375" style="1" customWidth="1"/>
    <col min="11" max="12" width="9.5" style="1" customWidth="1"/>
    <col min="13" max="16384" width="9" style="1"/>
  </cols>
  <sheetData>
    <row r="1" spans="2:17" x14ac:dyDescent="0.15">
      <c r="E1" s="1" t="s">
        <v>38</v>
      </c>
    </row>
    <row r="2" spans="2:17" x14ac:dyDescent="0.15">
      <c r="B2" s="1" t="s">
        <v>0</v>
      </c>
      <c r="C2" s="1" t="s">
        <v>84</v>
      </c>
      <c r="E2" s="2" t="s">
        <v>29</v>
      </c>
      <c r="F2" s="3">
        <f>MAX(D10:D109)/C4*100</f>
        <v>100</v>
      </c>
      <c r="Q2"/>
    </row>
    <row r="3" spans="2:17" x14ac:dyDescent="0.15">
      <c r="B3" s="1" t="s">
        <v>61</v>
      </c>
      <c r="C3" s="1">
        <v>2</v>
      </c>
      <c r="E3" s="4" t="s">
        <v>39</v>
      </c>
      <c r="F3" s="3">
        <f>C4-MAX(D10:D109)</f>
        <v>0</v>
      </c>
      <c r="H3" s="1" t="s">
        <v>7</v>
      </c>
      <c r="J3" s="5"/>
      <c r="K3" s="1" t="s">
        <v>8</v>
      </c>
      <c r="N3" s="5" t="s">
        <v>64</v>
      </c>
      <c r="O3" s="5"/>
    </row>
    <row r="4" spans="2:17" ht="14.25" thickBot="1" x14ac:dyDescent="0.2">
      <c r="B4" s="6" t="s">
        <v>11</v>
      </c>
      <c r="C4" s="3">
        <v>115.57142845890148</v>
      </c>
      <c r="E4" s="61" t="s">
        <v>6</v>
      </c>
      <c r="F4" s="62"/>
      <c r="H4" s="7">
        <v>0.95</v>
      </c>
      <c r="I4" s="8" t="s">
        <v>9</v>
      </c>
      <c r="J4" s="5"/>
      <c r="K4" s="9">
        <v>0.99</v>
      </c>
      <c r="L4" s="10" t="s">
        <v>9</v>
      </c>
      <c r="N4" s="15" t="s">
        <v>25</v>
      </c>
      <c r="O4" s="31">
        <f>C7*LN((2*3.14*E5/C7)+1)+2*(C3+1)</f>
        <v>75.586352980719454</v>
      </c>
    </row>
    <row r="5" spans="2:17" x14ac:dyDescent="0.15">
      <c r="B5" s="6" t="s">
        <v>12</v>
      </c>
      <c r="C5" s="3">
        <v>3.9437856429066587</v>
      </c>
      <c r="E5" s="63">
        <f>SUM(F10:F109)</f>
        <v>7632.7142856574037</v>
      </c>
      <c r="F5" s="64"/>
      <c r="H5" s="23">
        <f>C4*0.95</f>
        <v>109.7928570359564</v>
      </c>
      <c r="I5" s="22">
        <f>-(LN(C4-H5)-LN(H5*C5+C4))/C5</f>
        <v>1.154515100817415</v>
      </c>
      <c r="J5" s="5"/>
      <c r="K5" s="22">
        <f>C4*0.99</f>
        <v>114.41571417431247</v>
      </c>
      <c r="L5" s="22">
        <f>-(LN(C4-K5)-LN(H5*C5+C4))/C5</f>
        <v>1.5626097738453117</v>
      </c>
    </row>
    <row r="6" spans="2:17" x14ac:dyDescent="0.15">
      <c r="B6" s="13"/>
      <c r="C6" s="13"/>
      <c r="E6" s="1" t="s">
        <v>10</v>
      </c>
      <c r="H6" s="1" t="s">
        <v>10</v>
      </c>
      <c r="J6" s="5"/>
      <c r="K6" s="1" t="s">
        <v>10</v>
      </c>
    </row>
    <row r="7" spans="2:17" x14ac:dyDescent="0.15">
      <c r="B7" s="14" t="s">
        <v>30</v>
      </c>
      <c r="C7" s="29">
        <f>COUNT(C10:C109)</f>
        <v>8</v>
      </c>
    </row>
    <row r="8" spans="2:17" x14ac:dyDescent="0.15">
      <c r="B8" s="15" t="s">
        <v>1</v>
      </c>
    </row>
    <row r="9" spans="2:17" ht="27.75" thickBot="1" x14ac:dyDescent="0.2">
      <c r="B9" s="16" t="s">
        <v>45</v>
      </c>
      <c r="C9" s="17" t="s">
        <v>3</v>
      </c>
      <c r="D9" s="17" t="s">
        <v>34</v>
      </c>
      <c r="E9" s="17" t="s">
        <v>4</v>
      </c>
      <c r="F9" s="17" t="s">
        <v>5</v>
      </c>
      <c r="G9" s="18"/>
    </row>
    <row r="10" spans="2:17" x14ac:dyDescent="0.15">
      <c r="B10" s="19">
        <f>IF(データ入力!E6="","",データ入力!E6)</f>
        <v>0</v>
      </c>
      <c r="C10" s="19">
        <f>IF(データ入力!G6="","",データ入力!G6)</f>
        <v>1</v>
      </c>
      <c r="D10" s="20">
        <f>IF(B10="","",IF(B10=0,0,$C$4*(1-EXP(-$C$5*B10))/(1+$C$5*EXP(-$C$5*B10))))</f>
        <v>0</v>
      </c>
      <c r="E10" s="20">
        <f>IF(B10="","",C10-D10)</f>
        <v>1</v>
      </c>
      <c r="F10" s="20">
        <f>IF(B10="","",E10^2)</f>
        <v>1</v>
      </c>
      <c r="G10" s="21"/>
    </row>
    <row r="11" spans="2:17" x14ac:dyDescent="0.15">
      <c r="B11" s="19">
        <f>IF(データ入力!E7="","",データ入力!E7)</f>
        <v>7</v>
      </c>
      <c r="C11" s="19">
        <f>IF(データ入力!G7="","",データ入力!G7)</f>
        <v>67</v>
      </c>
      <c r="D11" s="20">
        <f t="shared" ref="D11:D74" si="0">IF(B11="","",IF(B11=0,0,$C$4*(1-EXP(-$C$5*B11))/(1+$C$5*EXP(-$C$5*B11))))</f>
        <v>115.57142845831594</v>
      </c>
      <c r="E11" s="20">
        <f t="shared" ref="E11:E49" si="1">IF(B11="","",C11-D11)</f>
        <v>-48.571428458315935</v>
      </c>
      <c r="F11" s="20">
        <f t="shared" ref="F11:F49" si="2">IF(B11="","",E11^2)</f>
        <v>2359.1836624813031</v>
      </c>
      <c r="G11" s="21"/>
    </row>
    <row r="12" spans="2:17" x14ac:dyDescent="0.15">
      <c r="B12" s="19">
        <f>IF(データ入力!E8="","",データ入力!E8)</f>
        <v>14</v>
      </c>
      <c r="C12" s="19">
        <f>IF(データ入力!G8="","",データ入力!G8)</f>
        <v>81</v>
      </c>
      <c r="D12" s="20">
        <f t="shared" si="0"/>
        <v>115.57142845890148</v>
      </c>
      <c r="E12" s="20">
        <f t="shared" si="1"/>
        <v>-34.57142845890148</v>
      </c>
      <c r="F12" s="20">
        <f t="shared" si="2"/>
        <v>1195.1836656889432</v>
      </c>
      <c r="G12" s="21"/>
    </row>
    <row r="13" spans="2:17" x14ac:dyDescent="0.15">
      <c r="B13" s="19">
        <f>IF(データ入力!E9="","",データ入力!E9)</f>
        <v>21</v>
      </c>
      <c r="C13" s="19">
        <f>IF(データ入力!G9="","",データ入力!G9)</f>
        <v>99</v>
      </c>
      <c r="D13" s="20">
        <f t="shared" si="0"/>
        <v>115.57142845890148</v>
      </c>
      <c r="E13" s="20">
        <f t="shared" si="1"/>
        <v>-16.57142845890148</v>
      </c>
      <c r="F13" s="20">
        <f t="shared" si="2"/>
        <v>274.61224116848985</v>
      </c>
      <c r="G13" s="21"/>
    </row>
    <row r="14" spans="2:17" x14ac:dyDescent="0.15">
      <c r="B14" s="19">
        <f>IF(データ入力!E10="","",データ入力!E10)</f>
        <v>28</v>
      </c>
      <c r="C14" s="19">
        <f>IF(データ入力!G10="","",データ入力!G10)</f>
        <v>117</v>
      </c>
      <c r="D14" s="20">
        <f t="shared" si="0"/>
        <v>115.57142845890148</v>
      </c>
      <c r="E14" s="20">
        <f t="shared" si="1"/>
        <v>1.4285715410985205</v>
      </c>
      <c r="F14" s="20">
        <f t="shared" si="2"/>
        <v>2.0408166480366017</v>
      </c>
      <c r="G14" s="21"/>
    </row>
    <row r="15" spans="2:17" x14ac:dyDescent="0.15">
      <c r="B15" s="19">
        <f>IF(データ入力!E11="","",データ入力!E11)</f>
        <v>35</v>
      </c>
      <c r="C15" s="19">
        <f>IF(データ入力!G11="","",データ入力!G11)</f>
        <v>132</v>
      </c>
      <c r="D15" s="20">
        <f t="shared" si="0"/>
        <v>115.57142845890148</v>
      </c>
      <c r="E15" s="20">
        <f t="shared" si="1"/>
        <v>16.42857154109852</v>
      </c>
      <c r="F15" s="20">
        <f t="shared" si="2"/>
        <v>269.89796288099222</v>
      </c>
      <c r="G15" s="21"/>
    </row>
    <row r="16" spans="2:17" x14ac:dyDescent="0.15">
      <c r="B16" s="19">
        <f>IF(データ入力!E12="","",データ入力!E12)</f>
        <v>42</v>
      </c>
      <c r="C16" s="19">
        <f>IF(データ入力!G12="","",データ入力!G12)</f>
        <v>147</v>
      </c>
      <c r="D16" s="20">
        <f t="shared" si="0"/>
        <v>115.57142845890148</v>
      </c>
      <c r="E16" s="20">
        <f t="shared" si="1"/>
        <v>31.42857154109852</v>
      </c>
      <c r="F16" s="20">
        <f t="shared" si="2"/>
        <v>987.75510911394781</v>
      </c>
      <c r="G16" s="21"/>
    </row>
    <row r="17" spans="2:7" x14ac:dyDescent="0.15">
      <c r="B17" s="19">
        <f>IF(データ入力!E13="","",データ入力!E13)</f>
        <v>49</v>
      </c>
      <c r="C17" s="19">
        <f>IF(データ入力!G13="","",データ入力!G13)</f>
        <v>166</v>
      </c>
      <c r="D17" s="20">
        <f t="shared" si="0"/>
        <v>115.57142845890148</v>
      </c>
      <c r="E17" s="20">
        <f t="shared" si="1"/>
        <v>50.42857154109852</v>
      </c>
      <c r="F17" s="20">
        <f t="shared" si="2"/>
        <v>2543.0408276756916</v>
      </c>
      <c r="G17" s="21"/>
    </row>
    <row r="18" spans="2:7" x14ac:dyDescent="0.15">
      <c r="B18" s="19" t="str">
        <f>IF(データ入力!E14="","",データ入力!E14)</f>
        <v/>
      </c>
      <c r="C18" s="19" t="str">
        <f>IF(データ入力!G14="","",データ入力!G14)</f>
        <v/>
      </c>
      <c r="D18" s="20" t="str">
        <f t="shared" si="0"/>
        <v/>
      </c>
      <c r="E18" s="20" t="str">
        <f t="shared" si="1"/>
        <v/>
      </c>
      <c r="F18" s="20" t="str">
        <f t="shared" si="2"/>
        <v/>
      </c>
      <c r="G18" s="21"/>
    </row>
    <row r="19" spans="2:7" x14ac:dyDescent="0.15">
      <c r="B19" s="19" t="str">
        <f>IF(データ入力!E15="","",データ入力!E15)</f>
        <v/>
      </c>
      <c r="C19" s="19" t="str">
        <f>IF(データ入力!G15="","",データ入力!G15)</f>
        <v/>
      </c>
      <c r="D19" s="20" t="str">
        <f t="shared" si="0"/>
        <v/>
      </c>
      <c r="E19" s="20" t="str">
        <f t="shared" si="1"/>
        <v/>
      </c>
      <c r="F19" s="20" t="str">
        <f t="shared" si="2"/>
        <v/>
      </c>
      <c r="G19" s="21"/>
    </row>
    <row r="20" spans="2:7" x14ac:dyDescent="0.15">
      <c r="B20" s="19" t="str">
        <f>IF(データ入力!E16="","",データ入力!E16)</f>
        <v/>
      </c>
      <c r="C20" s="19" t="str">
        <f>IF(データ入力!G16="","",データ入力!G16)</f>
        <v/>
      </c>
      <c r="D20" s="20" t="str">
        <f t="shared" si="0"/>
        <v/>
      </c>
      <c r="E20" s="20" t="str">
        <f t="shared" si="1"/>
        <v/>
      </c>
      <c r="F20" s="20" t="str">
        <f t="shared" si="2"/>
        <v/>
      </c>
      <c r="G20" s="21"/>
    </row>
    <row r="21" spans="2:7" x14ac:dyDescent="0.15">
      <c r="B21" s="19" t="str">
        <f>IF(データ入力!E17="","",データ入力!E17)</f>
        <v/>
      </c>
      <c r="C21" s="19" t="str">
        <f>IF(データ入力!G17="","",データ入力!G17)</f>
        <v/>
      </c>
      <c r="D21" s="20" t="str">
        <f t="shared" si="0"/>
        <v/>
      </c>
      <c r="E21" s="20" t="str">
        <f t="shared" si="1"/>
        <v/>
      </c>
      <c r="F21" s="20" t="str">
        <f t="shared" si="2"/>
        <v/>
      </c>
      <c r="G21" s="21"/>
    </row>
    <row r="22" spans="2:7" x14ac:dyDescent="0.15">
      <c r="B22" s="19" t="str">
        <f>IF(データ入力!E18="","",データ入力!E18)</f>
        <v/>
      </c>
      <c r="C22" s="19" t="str">
        <f>IF(データ入力!G18="","",データ入力!G18)</f>
        <v/>
      </c>
      <c r="D22" s="20" t="str">
        <f t="shared" si="0"/>
        <v/>
      </c>
      <c r="E22" s="20" t="str">
        <f t="shared" si="1"/>
        <v/>
      </c>
      <c r="F22" s="20" t="str">
        <f t="shared" si="2"/>
        <v/>
      </c>
      <c r="G22" s="21"/>
    </row>
    <row r="23" spans="2:7" x14ac:dyDescent="0.15">
      <c r="B23" s="19" t="str">
        <f>IF(データ入力!E19="","",データ入力!E19)</f>
        <v/>
      </c>
      <c r="C23" s="19" t="str">
        <f>IF(データ入力!G19="","",データ入力!G19)</f>
        <v/>
      </c>
      <c r="D23" s="20" t="str">
        <f t="shared" si="0"/>
        <v/>
      </c>
      <c r="E23" s="20" t="str">
        <f t="shared" si="1"/>
        <v/>
      </c>
      <c r="F23" s="20" t="str">
        <f t="shared" si="2"/>
        <v/>
      </c>
      <c r="G23" s="21"/>
    </row>
    <row r="24" spans="2:7" x14ac:dyDescent="0.15">
      <c r="B24" s="19" t="str">
        <f>IF(データ入力!E20="","",データ入力!E20)</f>
        <v/>
      </c>
      <c r="C24" s="19" t="str">
        <f>IF(データ入力!G20="","",データ入力!G20)</f>
        <v/>
      </c>
      <c r="D24" s="20" t="str">
        <f t="shared" si="0"/>
        <v/>
      </c>
      <c r="E24" s="20" t="str">
        <f t="shared" si="1"/>
        <v/>
      </c>
      <c r="F24" s="20" t="str">
        <f t="shared" si="2"/>
        <v/>
      </c>
      <c r="G24" s="21"/>
    </row>
    <row r="25" spans="2:7" x14ac:dyDescent="0.15">
      <c r="B25" s="19" t="str">
        <f>IF(データ入力!E21="","",データ入力!E21)</f>
        <v/>
      </c>
      <c r="C25" s="19" t="str">
        <f>IF(データ入力!G21="","",データ入力!G21)</f>
        <v/>
      </c>
      <c r="D25" s="20" t="str">
        <f t="shared" si="0"/>
        <v/>
      </c>
      <c r="E25" s="20" t="str">
        <f t="shared" si="1"/>
        <v/>
      </c>
      <c r="F25" s="20" t="str">
        <f t="shared" si="2"/>
        <v/>
      </c>
      <c r="G25" s="21"/>
    </row>
    <row r="26" spans="2:7" x14ac:dyDescent="0.15">
      <c r="B26" s="19" t="str">
        <f>IF(データ入力!E22="","",データ入力!E22)</f>
        <v/>
      </c>
      <c r="C26" s="19" t="str">
        <f>IF(データ入力!G22="","",データ入力!G22)</f>
        <v/>
      </c>
      <c r="D26" s="20" t="str">
        <f t="shared" si="0"/>
        <v/>
      </c>
      <c r="E26" s="20" t="str">
        <f t="shared" si="1"/>
        <v/>
      </c>
      <c r="F26" s="20" t="str">
        <f t="shared" si="2"/>
        <v/>
      </c>
      <c r="G26" s="21"/>
    </row>
    <row r="27" spans="2:7" x14ac:dyDescent="0.15">
      <c r="B27" s="19" t="str">
        <f>IF(データ入力!E23="","",データ入力!E23)</f>
        <v/>
      </c>
      <c r="C27" s="19" t="str">
        <f>IF(データ入力!G23="","",データ入力!G23)</f>
        <v/>
      </c>
      <c r="D27" s="20" t="str">
        <f t="shared" si="0"/>
        <v/>
      </c>
      <c r="E27" s="20" t="str">
        <f t="shared" si="1"/>
        <v/>
      </c>
      <c r="F27" s="20" t="str">
        <f t="shared" si="2"/>
        <v/>
      </c>
      <c r="G27" s="21"/>
    </row>
    <row r="28" spans="2:7" x14ac:dyDescent="0.15">
      <c r="B28" s="19" t="str">
        <f>IF(データ入力!E24="","",データ入力!E24)</f>
        <v/>
      </c>
      <c r="C28" s="19" t="str">
        <f>IF(データ入力!G24="","",データ入力!G24)</f>
        <v/>
      </c>
      <c r="D28" s="20" t="str">
        <f t="shared" si="0"/>
        <v/>
      </c>
      <c r="E28" s="20" t="str">
        <f t="shared" si="1"/>
        <v/>
      </c>
      <c r="F28" s="20" t="str">
        <f t="shared" si="2"/>
        <v/>
      </c>
      <c r="G28" s="21"/>
    </row>
    <row r="29" spans="2:7" x14ac:dyDescent="0.15">
      <c r="B29" s="19" t="str">
        <f>IF(データ入力!E25="","",データ入力!E25)</f>
        <v/>
      </c>
      <c r="C29" s="19" t="str">
        <f>IF(データ入力!G25="","",データ入力!G25)</f>
        <v/>
      </c>
      <c r="D29" s="20" t="str">
        <f t="shared" si="0"/>
        <v/>
      </c>
      <c r="E29" s="20" t="str">
        <f t="shared" si="1"/>
        <v/>
      </c>
      <c r="F29" s="20" t="str">
        <f t="shared" si="2"/>
        <v/>
      </c>
      <c r="G29" s="21"/>
    </row>
    <row r="30" spans="2:7" x14ac:dyDescent="0.15">
      <c r="B30" s="19" t="str">
        <f>IF(データ入力!E26="","",データ入力!E26)</f>
        <v/>
      </c>
      <c r="C30" s="19" t="str">
        <f>IF(データ入力!G26="","",データ入力!G26)</f>
        <v/>
      </c>
      <c r="D30" s="20" t="str">
        <f t="shared" si="0"/>
        <v/>
      </c>
      <c r="E30" s="20" t="str">
        <f t="shared" si="1"/>
        <v/>
      </c>
      <c r="F30" s="20" t="str">
        <f t="shared" si="2"/>
        <v/>
      </c>
      <c r="G30" s="21"/>
    </row>
    <row r="31" spans="2:7" x14ac:dyDescent="0.15">
      <c r="B31" s="19" t="str">
        <f>IF(データ入力!E27="","",データ入力!E27)</f>
        <v/>
      </c>
      <c r="C31" s="19" t="str">
        <f>IF(データ入力!G27="","",データ入力!G27)</f>
        <v/>
      </c>
      <c r="D31" s="20" t="str">
        <f t="shared" si="0"/>
        <v/>
      </c>
      <c r="E31" s="20" t="str">
        <f t="shared" si="1"/>
        <v/>
      </c>
      <c r="F31" s="20" t="str">
        <f t="shared" si="2"/>
        <v/>
      </c>
      <c r="G31" s="21"/>
    </row>
    <row r="32" spans="2:7" x14ac:dyDescent="0.15">
      <c r="B32" s="19" t="str">
        <f>IF(データ入力!E28="","",データ入力!E28)</f>
        <v/>
      </c>
      <c r="C32" s="19" t="str">
        <f>IF(データ入力!G28="","",データ入力!G28)</f>
        <v/>
      </c>
      <c r="D32" s="20" t="str">
        <f t="shared" si="0"/>
        <v/>
      </c>
      <c r="E32" s="20" t="str">
        <f t="shared" si="1"/>
        <v/>
      </c>
      <c r="F32" s="20" t="str">
        <f t="shared" si="2"/>
        <v/>
      </c>
      <c r="G32" s="21"/>
    </row>
    <row r="33" spans="2:9" x14ac:dyDescent="0.15">
      <c r="B33" s="19" t="str">
        <f>IF(データ入力!E29="","",データ入力!E29)</f>
        <v/>
      </c>
      <c r="C33" s="19" t="str">
        <f>IF(データ入力!G29="","",データ入力!G29)</f>
        <v/>
      </c>
      <c r="D33" s="20" t="str">
        <f t="shared" si="0"/>
        <v/>
      </c>
      <c r="E33" s="20" t="str">
        <f t="shared" si="1"/>
        <v/>
      </c>
      <c r="F33" s="20" t="str">
        <f t="shared" si="2"/>
        <v/>
      </c>
      <c r="G33" s="21"/>
    </row>
    <row r="34" spans="2:9" x14ac:dyDescent="0.15">
      <c r="B34" s="19" t="str">
        <f>IF(データ入力!E30="","",データ入力!E30)</f>
        <v/>
      </c>
      <c r="C34" s="19" t="str">
        <f>IF(データ入力!G30="","",データ入力!G30)</f>
        <v/>
      </c>
      <c r="D34" s="20" t="str">
        <f t="shared" si="0"/>
        <v/>
      </c>
      <c r="E34" s="20" t="str">
        <f t="shared" si="1"/>
        <v/>
      </c>
      <c r="F34" s="20" t="str">
        <f t="shared" si="2"/>
        <v/>
      </c>
      <c r="G34" s="21"/>
      <c r="H34" s="1" t="s">
        <v>37</v>
      </c>
    </row>
    <row r="35" spans="2:9" x14ac:dyDescent="0.15">
      <c r="B35" s="19" t="str">
        <f>IF(データ入力!E31="","",データ入力!E31)</f>
        <v/>
      </c>
      <c r="C35" s="19" t="str">
        <f>IF(データ入力!G31="","",データ入力!G31)</f>
        <v/>
      </c>
      <c r="D35" s="20" t="str">
        <f t="shared" si="0"/>
        <v/>
      </c>
      <c r="E35" s="20" t="str">
        <f t="shared" si="1"/>
        <v/>
      </c>
      <c r="F35" s="20" t="str">
        <f t="shared" si="2"/>
        <v/>
      </c>
      <c r="G35" s="21"/>
      <c r="H35" s="1" t="s">
        <v>35</v>
      </c>
    </row>
    <row r="36" spans="2:9" x14ac:dyDescent="0.15">
      <c r="B36" s="19" t="str">
        <f>IF(データ入力!E32="","",データ入力!E32)</f>
        <v/>
      </c>
      <c r="C36" s="19" t="str">
        <f>IF(データ入力!G32="","",データ入力!G32)</f>
        <v/>
      </c>
      <c r="D36" s="20" t="str">
        <f t="shared" si="0"/>
        <v/>
      </c>
      <c r="E36" s="20" t="str">
        <f t="shared" si="1"/>
        <v/>
      </c>
      <c r="F36" s="20" t="str">
        <f t="shared" si="2"/>
        <v/>
      </c>
      <c r="G36" s="21"/>
      <c r="H36" s="2">
        <v>0</v>
      </c>
      <c r="I36" s="3">
        <f>$H$5</f>
        <v>109.7928570359564</v>
      </c>
    </row>
    <row r="37" spans="2:9" x14ac:dyDescent="0.15">
      <c r="B37" s="19" t="str">
        <f>IF(データ入力!E33="","",データ入力!E33)</f>
        <v/>
      </c>
      <c r="C37" s="19" t="str">
        <f>IF(データ入力!G33="","",データ入力!G33)</f>
        <v/>
      </c>
      <c r="D37" s="20" t="str">
        <f t="shared" si="0"/>
        <v/>
      </c>
      <c r="E37" s="20" t="str">
        <f t="shared" si="1"/>
        <v/>
      </c>
      <c r="F37" s="20" t="str">
        <f t="shared" si="2"/>
        <v/>
      </c>
      <c r="G37" s="21"/>
      <c r="H37" s="2">
        <f>MAX(B10:B109)</f>
        <v>49</v>
      </c>
      <c r="I37" s="3">
        <f>$H$5</f>
        <v>109.7928570359564</v>
      </c>
    </row>
    <row r="38" spans="2:9" x14ac:dyDescent="0.15">
      <c r="B38" s="19" t="str">
        <f>IF(データ入力!E34="","",データ入力!E34)</f>
        <v/>
      </c>
      <c r="C38" s="19" t="str">
        <f>IF(データ入力!G34="","",データ入力!G34)</f>
        <v/>
      </c>
      <c r="D38" s="20" t="str">
        <f t="shared" si="0"/>
        <v/>
      </c>
      <c r="E38" s="20" t="str">
        <f t="shared" si="1"/>
        <v/>
      </c>
      <c r="F38" s="20" t="str">
        <f t="shared" si="2"/>
        <v/>
      </c>
      <c r="G38" s="21"/>
      <c r="H38" s="1" t="s">
        <v>36</v>
      </c>
    </row>
    <row r="39" spans="2:9" x14ac:dyDescent="0.15">
      <c r="B39" s="19" t="str">
        <f>IF(データ入力!E35="","",データ入力!E35)</f>
        <v/>
      </c>
      <c r="C39" s="19" t="str">
        <f>IF(データ入力!G35="","",データ入力!G35)</f>
        <v/>
      </c>
      <c r="D39" s="20" t="str">
        <f t="shared" si="0"/>
        <v/>
      </c>
      <c r="E39" s="20" t="str">
        <f t="shared" si="1"/>
        <v/>
      </c>
      <c r="F39" s="20" t="str">
        <f t="shared" si="2"/>
        <v/>
      </c>
      <c r="G39" s="21"/>
      <c r="H39" s="2">
        <v>0</v>
      </c>
      <c r="I39" s="3">
        <f>$K$5</f>
        <v>114.41571417431247</v>
      </c>
    </row>
    <row r="40" spans="2:9" x14ac:dyDescent="0.15">
      <c r="B40" s="19" t="str">
        <f>IF(データ入力!E36="","",データ入力!E36)</f>
        <v/>
      </c>
      <c r="C40" s="19" t="str">
        <f>IF(データ入力!G36="","",データ入力!G36)</f>
        <v/>
      </c>
      <c r="D40" s="20" t="str">
        <f t="shared" si="0"/>
        <v/>
      </c>
      <c r="E40" s="20" t="str">
        <f t="shared" si="1"/>
        <v/>
      </c>
      <c r="F40" s="20" t="str">
        <f t="shared" si="2"/>
        <v/>
      </c>
      <c r="G40" s="21"/>
      <c r="H40" s="2">
        <f>MAX(B10:B109)</f>
        <v>49</v>
      </c>
      <c r="I40" s="3">
        <f>$K$5</f>
        <v>114.41571417431247</v>
      </c>
    </row>
    <row r="41" spans="2:9" x14ac:dyDescent="0.15">
      <c r="B41" s="19" t="str">
        <f>IF(データ入力!E37="","",データ入力!E37)</f>
        <v/>
      </c>
      <c r="C41" s="19" t="str">
        <f>IF(データ入力!G37="","",データ入力!G37)</f>
        <v/>
      </c>
      <c r="D41" s="20" t="str">
        <f t="shared" si="0"/>
        <v/>
      </c>
      <c r="E41" s="20" t="str">
        <f t="shared" si="1"/>
        <v/>
      </c>
      <c r="F41" s="20" t="str">
        <f t="shared" si="2"/>
        <v/>
      </c>
      <c r="G41" s="21"/>
    </row>
    <row r="42" spans="2:9" x14ac:dyDescent="0.15">
      <c r="B42" s="19" t="str">
        <f>IF(データ入力!E38="","",データ入力!E38)</f>
        <v/>
      </c>
      <c r="C42" s="19" t="str">
        <f>IF(データ入力!G38="","",データ入力!G38)</f>
        <v/>
      </c>
      <c r="D42" s="20" t="str">
        <f t="shared" si="0"/>
        <v/>
      </c>
      <c r="E42" s="20" t="str">
        <f t="shared" si="1"/>
        <v/>
      </c>
      <c r="F42" s="20" t="str">
        <f t="shared" si="2"/>
        <v/>
      </c>
      <c r="G42" s="21"/>
    </row>
    <row r="43" spans="2:9" x14ac:dyDescent="0.15">
      <c r="B43" s="19" t="str">
        <f>IF(データ入力!E39="","",データ入力!E39)</f>
        <v/>
      </c>
      <c r="C43" s="19" t="str">
        <f>IF(データ入力!G39="","",データ入力!G39)</f>
        <v/>
      </c>
      <c r="D43" s="20" t="str">
        <f t="shared" si="0"/>
        <v/>
      </c>
      <c r="E43" s="20" t="str">
        <f t="shared" si="1"/>
        <v/>
      </c>
      <c r="F43" s="20" t="str">
        <f t="shared" si="2"/>
        <v/>
      </c>
      <c r="G43" s="21"/>
    </row>
    <row r="44" spans="2:9" x14ac:dyDescent="0.15">
      <c r="B44" s="19" t="str">
        <f>IF(データ入力!E40="","",データ入力!E40)</f>
        <v/>
      </c>
      <c r="C44" s="19" t="str">
        <f>IF(データ入力!G40="","",データ入力!G40)</f>
        <v/>
      </c>
      <c r="D44" s="20" t="str">
        <f t="shared" si="0"/>
        <v/>
      </c>
      <c r="E44" s="20" t="str">
        <f t="shared" si="1"/>
        <v/>
      </c>
      <c r="F44" s="20" t="str">
        <f t="shared" si="2"/>
        <v/>
      </c>
      <c r="G44" s="21"/>
    </row>
    <row r="45" spans="2:9" x14ac:dyDescent="0.15">
      <c r="B45" s="19" t="str">
        <f>IF(データ入力!E41="","",データ入力!E41)</f>
        <v/>
      </c>
      <c r="C45" s="19" t="str">
        <f>IF(データ入力!G41="","",データ入力!G41)</f>
        <v/>
      </c>
      <c r="D45" s="20" t="str">
        <f t="shared" si="0"/>
        <v/>
      </c>
      <c r="E45" s="20" t="str">
        <f t="shared" si="1"/>
        <v/>
      </c>
      <c r="F45" s="20" t="str">
        <f t="shared" si="2"/>
        <v/>
      </c>
      <c r="G45" s="21"/>
    </row>
    <row r="46" spans="2:9" x14ac:dyDescent="0.15">
      <c r="B46" s="19" t="str">
        <f>IF(データ入力!E42="","",データ入力!E42)</f>
        <v/>
      </c>
      <c r="C46" s="19" t="str">
        <f>IF(データ入力!G42="","",データ入力!G42)</f>
        <v/>
      </c>
      <c r="D46" s="20" t="str">
        <f t="shared" si="0"/>
        <v/>
      </c>
      <c r="E46" s="20" t="str">
        <f t="shared" si="1"/>
        <v/>
      </c>
      <c r="F46" s="20" t="str">
        <f t="shared" si="2"/>
        <v/>
      </c>
      <c r="G46" s="21"/>
    </row>
    <row r="47" spans="2:9" x14ac:dyDescent="0.15">
      <c r="B47" s="19" t="str">
        <f>IF(データ入力!E43="","",データ入力!E43)</f>
        <v/>
      </c>
      <c r="C47" s="19" t="str">
        <f>IF(データ入力!G43="","",データ入力!G43)</f>
        <v/>
      </c>
      <c r="D47" s="20" t="str">
        <f t="shared" si="0"/>
        <v/>
      </c>
      <c r="E47" s="20" t="str">
        <f t="shared" si="1"/>
        <v/>
      </c>
      <c r="F47" s="20" t="str">
        <f t="shared" si="2"/>
        <v/>
      </c>
      <c r="G47" s="21"/>
    </row>
    <row r="48" spans="2:9" x14ac:dyDescent="0.15">
      <c r="B48" s="19" t="str">
        <f>IF(データ入力!E44="","",データ入力!E44)</f>
        <v/>
      </c>
      <c r="C48" s="19" t="str">
        <f>IF(データ入力!G44="","",データ入力!G44)</f>
        <v/>
      </c>
      <c r="D48" s="20" t="str">
        <f t="shared" si="0"/>
        <v/>
      </c>
      <c r="E48" s="20" t="str">
        <f t="shared" si="1"/>
        <v/>
      </c>
      <c r="F48" s="20" t="str">
        <f t="shared" si="2"/>
        <v/>
      </c>
      <c r="G48" s="21"/>
    </row>
    <row r="49" spans="2:7" x14ac:dyDescent="0.15">
      <c r="B49" s="19" t="str">
        <f>IF(データ入力!E45="","",データ入力!E45)</f>
        <v/>
      </c>
      <c r="C49" s="19" t="str">
        <f>IF(データ入力!G45="","",データ入力!G45)</f>
        <v/>
      </c>
      <c r="D49" s="20" t="str">
        <f t="shared" si="0"/>
        <v/>
      </c>
      <c r="E49" s="20" t="str">
        <f t="shared" si="1"/>
        <v/>
      </c>
      <c r="F49" s="20" t="str">
        <f t="shared" si="2"/>
        <v/>
      </c>
      <c r="G49" s="21"/>
    </row>
    <row r="50" spans="2:7" x14ac:dyDescent="0.15">
      <c r="B50" s="19" t="str">
        <f>IF(データ入力!E46="","",データ入力!E46)</f>
        <v/>
      </c>
      <c r="C50" s="19" t="str">
        <f>IF(データ入力!G46="","",データ入力!G46)</f>
        <v/>
      </c>
      <c r="D50" s="20" t="str">
        <f t="shared" si="0"/>
        <v/>
      </c>
      <c r="E50" s="20" t="str">
        <f t="shared" ref="E50:E109" si="3">IF(B50="","",C50-D50)</f>
        <v/>
      </c>
      <c r="F50" s="20" t="str">
        <f t="shared" ref="F50:F109" si="4">IF(B50="","",E50^2)</f>
        <v/>
      </c>
      <c r="G50" s="21"/>
    </row>
    <row r="51" spans="2:7" x14ac:dyDescent="0.15">
      <c r="B51" s="19" t="str">
        <f>IF(データ入力!E47="","",データ入力!E47)</f>
        <v/>
      </c>
      <c r="C51" s="19" t="str">
        <f>IF(データ入力!G47="","",データ入力!G47)</f>
        <v/>
      </c>
      <c r="D51" s="20" t="str">
        <f t="shared" si="0"/>
        <v/>
      </c>
      <c r="E51" s="20" t="str">
        <f t="shared" si="3"/>
        <v/>
      </c>
      <c r="F51" s="20" t="str">
        <f t="shared" si="4"/>
        <v/>
      </c>
      <c r="G51" s="21"/>
    </row>
    <row r="52" spans="2:7" x14ac:dyDescent="0.15">
      <c r="B52" s="19" t="str">
        <f>IF(データ入力!E48="","",データ入力!E48)</f>
        <v/>
      </c>
      <c r="C52" s="19" t="str">
        <f>IF(データ入力!G48="","",データ入力!G48)</f>
        <v/>
      </c>
      <c r="D52" s="20" t="str">
        <f t="shared" si="0"/>
        <v/>
      </c>
      <c r="E52" s="20" t="str">
        <f t="shared" si="3"/>
        <v/>
      </c>
      <c r="F52" s="20" t="str">
        <f t="shared" si="4"/>
        <v/>
      </c>
      <c r="G52" s="21"/>
    </row>
    <row r="53" spans="2:7" x14ac:dyDescent="0.15">
      <c r="B53" s="19" t="str">
        <f>IF(データ入力!E49="","",データ入力!E49)</f>
        <v/>
      </c>
      <c r="C53" s="19" t="str">
        <f>IF(データ入力!G49="","",データ入力!G49)</f>
        <v/>
      </c>
      <c r="D53" s="20" t="str">
        <f t="shared" si="0"/>
        <v/>
      </c>
      <c r="E53" s="20" t="str">
        <f t="shared" si="3"/>
        <v/>
      </c>
      <c r="F53" s="20" t="str">
        <f t="shared" si="4"/>
        <v/>
      </c>
      <c r="G53" s="21"/>
    </row>
    <row r="54" spans="2:7" x14ac:dyDescent="0.15">
      <c r="B54" s="19" t="str">
        <f>IF(データ入力!E50="","",データ入力!E50)</f>
        <v/>
      </c>
      <c r="C54" s="19" t="str">
        <f>IF(データ入力!G50="","",データ入力!G50)</f>
        <v/>
      </c>
      <c r="D54" s="20" t="str">
        <f t="shared" si="0"/>
        <v/>
      </c>
      <c r="E54" s="20" t="str">
        <f t="shared" si="3"/>
        <v/>
      </c>
      <c r="F54" s="20" t="str">
        <f t="shared" si="4"/>
        <v/>
      </c>
      <c r="G54" s="21"/>
    </row>
    <row r="55" spans="2:7" x14ac:dyDescent="0.15">
      <c r="B55" s="19" t="str">
        <f>IF(データ入力!E51="","",データ入力!E51)</f>
        <v/>
      </c>
      <c r="C55" s="19" t="str">
        <f>IF(データ入力!G51="","",データ入力!G51)</f>
        <v/>
      </c>
      <c r="D55" s="20" t="str">
        <f t="shared" si="0"/>
        <v/>
      </c>
      <c r="E55" s="20" t="str">
        <f t="shared" si="3"/>
        <v/>
      </c>
      <c r="F55" s="20" t="str">
        <f t="shared" si="4"/>
        <v/>
      </c>
      <c r="G55" s="21"/>
    </row>
    <row r="56" spans="2:7" x14ac:dyDescent="0.15">
      <c r="B56" s="19" t="str">
        <f>IF(データ入力!E52="","",データ入力!E52)</f>
        <v/>
      </c>
      <c r="C56" s="19" t="str">
        <f>IF(データ入力!G52="","",データ入力!G52)</f>
        <v/>
      </c>
      <c r="D56" s="20" t="str">
        <f t="shared" si="0"/>
        <v/>
      </c>
      <c r="E56" s="20" t="str">
        <f t="shared" si="3"/>
        <v/>
      </c>
      <c r="F56" s="20" t="str">
        <f t="shared" si="4"/>
        <v/>
      </c>
      <c r="G56" s="21"/>
    </row>
    <row r="57" spans="2:7" x14ac:dyDescent="0.15">
      <c r="B57" s="19" t="str">
        <f>IF(データ入力!E53="","",データ入力!E53)</f>
        <v/>
      </c>
      <c r="C57" s="19" t="str">
        <f>IF(データ入力!G53="","",データ入力!G53)</f>
        <v/>
      </c>
      <c r="D57" s="20" t="str">
        <f t="shared" si="0"/>
        <v/>
      </c>
      <c r="E57" s="20" t="str">
        <f t="shared" si="3"/>
        <v/>
      </c>
      <c r="F57" s="20" t="str">
        <f t="shared" si="4"/>
        <v/>
      </c>
      <c r="G57" s="21"/>
    </row>
    <row r="58" spans="2:7" x14ac:dyDescent="0.15">
      <c r="B58" s="19" t="str">
        <f>IF(データ入力!E54="","",データ入力!E54)</f>
        <v/>
      </c>
      <c r="C58" s="19" t="str">
        <f>IF(データ入力!G54="","",データ入力!G54)</f>
        <v/>
      </c>
      <c r="D58" s="20" t="str">
        <f t="shared" si="0"/>
        <v/>
      </c>
      <c r="E58" s="20" t="str">
        <f t="shared" si="3"/>
        <v/>
      </c>
      <c r="F58" s="20" t="str">
        <f t="shared" si="4"/>
        <v/>
      </c>
      <c r="G58" s="21"/>
    </row>
    <row r="59" spans="2:7" x14ac:dyDescent="0.15">
      <c r="B59" s="19" t="str">
        <f>IF(データ入力!E55="","",データ入力!E55)</f>
        <v/>
      </c>
      <c r="C59" s="19" t="str">
        <f>IF(データ入力!G55="","",データ入力!G55)</f>
        <v/>
      </c>
      <c r="D59" s="20" t="str">
        <f t="shared" si="0"/>
        <v/>
      </c>
      <c r="E59" s="20" t="str">
        <f t="shared" si="3"/>
        <v/>
      </c>
      <c r="F59" s="20" t="str">
        <f t="shared" si="4"/>
        <v/>
      </c>
      <c r="G59" s="21"/>
    </row>
    <row r="60" spans="2:7" x14ac:dyDescent="0.15">
      <c r="B60" s="19" t="str">
        <f>IF(データ入力!E56="","",データ入力!E56)</f>
        <v/>
      </c>
      <c r="C60" s="19" t="str">
        <f>IF(データ入力!G56="","",データ入力!G56)</f>
        <v/>
      </c>
      <c r="D60" s="20" t="str">
        <f t="shared" si="0"/>
        <v/>
      </c>
      <c r="E60" s="20" t="str">
        <f t="shared" si="3"/>
        <v/>
      </c>
      <c r="F60" s="20" t="str">
        <f t="shared" si="4"/>
        <v/>
      </c>
      <c r="G60" s="21"/>
    </row>
    <row r="61" spans="2:7" x14ac:dyDescent="0.15">
      <c r="B61" s="19" t="str">
        <f>IF(データ入力!E57="","",データ入力!E57)</f>
        <v/>
      </c>
      <c r="C61" s="19" t="str">
        <f>IF(データ入力!G57="","",データ入力!G57)</f>
        <v/>
      </c>
      <c r="D61" s="20" t="str">
        <f t="shared" si="0"/>
        <v/>
      </c>
      <c r="E61" s="20" t="str">
        <f t="shared" si="3"/>
        <v/>
      </c>
      <c r="F61" s="20" t="str">
        <f t="shared" si="4"/>
        <v/>
      </c>
      <c r="G61" s="21"/>
    </row>
    <row r="62" spans="2:7" x14ac:dyDescent="0.15">
      <c r="B62" s="19" t="str">
        <f>IF(データ入力!E58="","",データ入力!E58)</f>
        <v/>
      </c>
      <c r="C62" s="19" t="str">
        <f>IF(データ入力!G58="","",データ入力!G58)</f>
        <v/>
      </c>
      <c r="D62" s="20" t="str">
        <f t="shared" si="0"/>
        <v/>
      </c>
      <c r="E62" s="20" t="str">
        <f t="shared" si="3"/>
        <v/>
      </c>
      <c r="F62" s="20" t="str">
        <f t="shared" si="4"/>
        <v/>
      </c>
      <c r="G62" s="21"/>
    </row>
    <row r="63" spans="2:7" x14ac:dyDescent="0.15">
      <c r="B63" s="19" t="str">
        <f>IF(データ入力!E59="","",データ入力!E59)</f>
        <v/>
      </c>
      <c r="C63" s="19" t="str">
        <f>IF(データ入力!G59="","",データ入力!G59)</f>
        <v/>
      </c>
      <c r="D63" s="20" t="str">
        <f t="shared" si="0"/>
        <v/>
      </c>
      <c r="E63" s="20" t="str">
        <f t="shared" si="3"/>
        <v/>
      </c>
      <c r="F63" s="20" t="str">
        <f t="shared" si="4"/>
        <v/>
      </c>
      <c r="G63" s="21"/>
    </row>
    <row r="64" spans="2:7" x14ac:dyDescent="0.15">
      <c r="B64" s="19" t="str">
        <f>IF(データ入力!E60="","",データ入力!E60)</f>
        <v/>
      </c>
      <c r="C64" s="19" t="str">
        <f>IF(データ入力!G60="","",データ入力!G60)</f>
        <v/>
      </c>
      <c r="D64" s="20" t="str">
        <f t="shared" si="0"/>
        <v/>
      </c>
      <c r="E64" s="20" t="str">
        <f t="shared" si="3"/>
        <v/>
      </c>
      <c r="F64" s="20" t="str">
        <f t="shared" si="4"/>
        <v/>
      </c>
      <c r="G64" s="21"/>
    </row>
    <row r="65" spans="2:7" x14ac:dyDescent="0.15">
      <c r="B65" s="19" t="str">
        <f>IF(データ入力!E61="","",データ入力!E61)</f>
        <v/>
      </c>
      <c r="C65" s="19" t="str">
        <f>IF(データ入力!G61="","",データ入力!G61)</f>
        <v/>
      </c>
      <c r="D65" s="20" t="str">
        <f t="shared" si="0"/>
        <v/>
      </c>
      <c r="E65" s="20" t="str">
        <f t="shared" si="3"/>
        <v/>
      </c>
      <c r="F65" s="20" t="str">
        <f t="shared" si="4"/>
        <v/>
      </c>
      <c r="G65" s="21"/>
    </row>
    <row r="66" spans="2:7" x14ac:dyDescent="0.15">
      <c r="B66" s="19" t="str">
        <f>IF(データ入力!E62="","",データ入力!E62)</f>
        <v/>
      </c>
      <c r="C66" s="19" t="str">
        <f>IF(データ入力!G62="","",データ入力!G62)</f>
        <v/>
      </c>
      <c r="D66" s="20" t="str">
        <f t="shared" si="0"/>
        <v/>
      </c>
      <c r="E66" s="20" t="str">
        <f t="shared" si="3"/>
        <v/>
      </c>
      <c r="F66" s="20" t="str">
        <f t="shared" si="4"/>
        <v/>
      </c>
      <c r="G66" s="21"/>
    </row>
    <row r="67" spans="2:7" x14ac:dyDescent="0.15">
      <c r="B67" s="19" t="str">
        <f>IF(データ入力!E63="","",データ入力!E63)</f>
        <v/>
      </c>
      <c r="C67" s="19" t="str">
        <f>IF(データ入力!G63="","",データ入力!G63)</f>
        <v/>
      </c>
      <c r="D67" s="20" t="str">
        <f t="shared" si="0"/>
        <v/>
      </c>
      <c r="E67" s="20" t="str">
        <f t="shared" si="3"/>
        <v/>
      </c>
      <c r="F67" s="20" t="str">
        <f t="shared" si="4"/>
        <v/>
      </c>
      <c r="G67" s="21"/>
    </row>
    <row r="68" spans="2:7" x14ac:dyDescent="0.15">
      <c r="B68" s="19" t="str">
        <f>IF(データ入力!E64="","",データ入力!E64)</f>
        <v/>
      </c>
      <c r="C68" s="19" t="str">
        <f>IF(データ入力!G64="","",データ入力!G64)</f>
        <v/>
      </c>
      <c r="D68" s="20" t="str">
        <f t="shared" si="0"/>
        <v/>
      </c>
      <c r="E68" s="20" t="str">
        <f t="shared" si="3"/>
        <v/>
      </c>
      <c r="F68" s="20" t="str">
        <f t="shared" si="4"/>
        <v/>
      </c>
      <c r="G68" s="21"/>
    </row>
    <row r="69" spans="2:7" x14ac:dyDescent="0.15">
      <c r="B69" s="19" t="str">
        <f>IF(データ入力!E65="","",データ入力!E65)</f>
        <v/>
      </c>
      <c r="C69" s="19" t="str">
        <f>IF(データ入力!G65="","",データ入力!G65)</f>
        <v/>
      </c>
      <c r="D69" s="20" t="str">
        <f t="shared" si="0"/>
        <v/>
      </c>
      <c r="E69" s="20" t="str">
        <f t="shared" si="3"/>
        <v/>
      </c>
      <c r="F69" s="20" t="str">
        <f t="shared" si="4"/>
        <v/>
      </c>
      <c r="G69" s="21"/>
    </row>
    <row r="70" spans="2:7" x14ac:dyDescent="0.15">
      <c r="B70" s="19" t="str">
        <f>IF(データ入力!E66="","",データ入力!E66)</f>
        <v/>
      </c>
      <c r="C70" s="19" t="str">
        <f>IF(データ入力!G66="","",データ入力!G66)</f>
        <v/>
      </c>
      <c r="D70" s="20" t="str">
        <f t="shared" si="0"/>
        <v/>
      </c>
      <c r="E70" s="20" t="str">
        <f t="shared" si="3"/>
        <v/>
      </c>
      <c r="F70" s="20" t="str">
        <f t="shared" si="4"/>
        <v/>
      </c>
      <c r="G70" s="21"/>
    </row>
    <row r="71" spans="2:7" x14ac:dyDescent="0.15">
      <c r="B71" s="19" t="str">
        <f>IF(データ入力!E67="","",データ入力!E67)</f>
        <v/>
      </c>
      <c r="C71" s="19" t="str">
        <f>IF(データ入力!G67="","",データ入力!G67)</f>
        <v/>
      </c>
      <c r="D71" s="20" t="str">
        <f t="shared" si="0"/>
        <v/>
      </c>
      <c r="E71" s="20" t="str">
        <f t="shared" si="3"/>
        <v/>
      </c>
      <c r="F71" s="20" t="str">
        <f t="shared" si="4"/>
        <v/>
      </c>
      <c r="G71" s="21"/>
    </row>
    <row r="72" spans="2:7" x14ac:dyDescent="0.15">
      <c r="B72" s="19" t="str">
        <f>IF(データ入力!E68="","",データ入力!E68)</f>
        <v/>
      </c>
      <c r="C72" s="19" t="str">
        <f>IF(データ入力!G68="","",データ入力!G68)</f>
        <v/>
      </c>
      <c r="D72" s="20" t="str">
        <f t="shared" si="0"/>
        <v/>
      </c>
      <c r="E72" s="20" t="str">
        <f t="shared" si="3"/>
        <v/>
      </c>
      <c r="F72" s="20" t="str">
        <f t="shared" si="4"/>
        <v/>
      </c>
      <c r="G72" s="21"/>
    </row>
    <row r="73" spans="2:7" x14ac:dyDescent="0.15">
      <c r="B73" s="19" t="str">
        <f>IF(データ入力!E69="","",データ入力!E69)</f>
        <v/>
      </c>
      <c r="C73" s="19" t="str">
        <f>IF(データ入力!G69="","",データ入力!G69)</f>
        <v/>
      </c>
      <c r="D73" s="20" t="str">
        <f t="shared" si="0"/>
        <v/>
      </c>
      <c r="E73" s="20" t="str">
        <f t="shared" si="3"/>
        <v/>
      </c>
      <c r="F73" s="20" t="str">
        <f t="shared" si="4"/>
        <v/>
      </c>
      <c r="G73" s="21"/>
    </row>
    <row r="74" spans="2:7" x14ac:dyDescent="0.15">
      <c r="B74" s="19" t="str">
        <f>IF(データ入力!E70="","",データ入力!E70)</f>
        <v/>
      </c>
      <c r="C74" s="19" t="str">
        <f>IF(データ入力!G70="","",データ入力!G70)</f>
        <v/>
      </c>
      <c r="D74" s="20" t="str">
        <f t="shared" si="0"/>
        <v/>
      </c>
      <c r="E74" s="20" t="str">
        <f t="shared" si="3"/>
        <v/>
      </c>
      <c r="F74" s="20" t="str">
        <f t="shared" si="4"/>
        <v/>
      </c>
      <c r="G74" s="21"/>
    </row>
    <row r="75" spans="2:7" x14ac:dyDescent="0.15">
      <c r="B75" s="19" t="str">
        <f>IF(データ入力!E71="","",データ入力!E71)</f>
        <v/>
      </c>
      <c r="C75" s="19" t="str">
        <f>IF(データ入力!G71="","",データ入力!G71)</f>
        <v/>
      </c>
      <c r="D75" s="20" t="str">
        <f t="shared" ref="D75:D109" si="5">IF(B75="","",IF(B75=0,0,$C$4*(1-EXP(-$C$5*B75))/(1+$C$5*EXP(-$C$5*B75))))</f>
        <v/>
      </c>
      <c r="E75" s="20" t="str">
        <f t="shared" si="3"/>
        <v/>
      </c>
      <c r="F75" s="20" t="str">
        <f t="shared" si="4"/>
        <v/>
      </c>
      <c r="G75" s="21"/>
    </row>
    <row r="76" spans="2:7" x14ac:dyDescent="0.15">
      <c r="B76" s="19" t="str">
        <f>IF(データ入力!E72="","",データ入力!E72)</f>
        <v/>
      </c>
      <c r="C76" s="19" t="str">
        <f>IF(データ入力!G72="","",データ入力!G72)</f>
        <v/>
      </c>
      <c r="D76" s="20" t="str">
        <f t="shared" si="5"/>
        <v/>
      </c>
      <c r="E76" s="20" t="str">
        <f t="shared" si="3"/>
        <v/>
      </c>
      <c r="F76" s="20" t="str">
        <f t="shared" si="4"/>
        <v/>
      </c>
      <c r="G76" s="21"/>
    </row>
    <row r="77" spans="2:7" x14ac:dyDescent="0.15">
      <c r="B77" s="19" t="str">
        <f>IF(データ入力!E73="","",データ入力!E73)</f>
        <v/>
      </c>
      <c r="C77" s="19" t="str">
        <f>IF(データ入力!G73="","",データ入力!G73)</f>
        <v/>
      </c>
      <c r="D77" s="20" t="str">
        <f t="shared" si="5"/>
        <v/>
      </c>
      <c r="E77" s="20" t="str">
        <f t="shared" si="3"/>
        <v/>
      </c>
      <c r="F77" s="20" t="str">
        <f t="shared" si="4"/>
        <v/>
      </c>
      <c r="G77" s="21"/>
    </row>
    <row r="78" spans="2:7" x14ac:dyDescent="0.15">
      <c r="B78" s="19" t="str">
        <f>IF(データ入力!E74="","",データ入力!E74)</f>
        <v/>
      </c>
      <c r="C78" s="19" t="str">
        <f>IF(データ入力!G74="","",データ入力!G74)</f>
        <v/>
      </c>
      <c r="D78" s="20" t="str">
        <f t="shared" si="5"/>
        <v/>
      </c>
      <c r="E78" s="20" t="str">
        <f t="shared" si="3"/>
        <v/>
      </c>
      <c r="F78" s="20" t="str">
        <f t="shared" si="4"/>
        <v/>
      </c>
      <c r="G78" s="21"/>
    </row>
    <row r="79" spans="2:7" x14ac:dyDescent="0.15">
      <c r="B79" s="19" t="str">
        <f>IF(データ入力!E75="","",データ入力!E75)</f>
        <v/>
      </c>
      <c r="C79" s="19" t="str">
        <f>IF(データ入力!G75="","",データ入力!G75)</f>
        <v/>
      </c>
      <c r="D79" s="20" t="str">
        <f t="shared" si="5"/>
        <v/>
      </c>
      <c r="E79" s="20" t="str">
        <f t="shared" si="3"/>
        <v/>
      </c>
      <c r="F79" s="20" t="str">
        <f t="shared" si="4"/>
        <v/>
      </c>
      <c r="G79" s="21"/>
    </row>
    <row r="80" spans="2:7" x14ac:dyDescent="0.15">
      <c r="B80" s="19"/>
      <c r="C80" s="19" t="str">
        <f>IF(データ入力!G76="","",データ入力!G76)</f>
        <v/>
      </c>
      <c r="D80" s="20" t="str">
        <f t="shared" si="5"/>
        <v/>
      </c>
      <c r="E80" s="20" t="str">
        <f t="shared" si="3"/>
        <v/>
      </c>
      <c r="F80" s="20" t="str">
        <f t="shared" si="4"/>
        <v/>
      </c>
      <c r="G80" s="21"/>
    </row>
    <row r="81" spans="2:7" x14ac:dyDescent="0.15">
      <c r="B81" s="19" t="str">
        <f>IF(データ入力!E77="","",データ入力!E77)</f>
        <v/>
      </c>
      <c r="C81" s="19" t="str">
        <f>IF(データ入力!G77="","",データ入力!G77)</f>
        <v/>
      </c>
      <c r="D81" s="20" t="str">
        <f t="shared" si="5"/>
        <v/>
      </c>
      <c r="E81" s="20" t="str">
        <f t="shared" si="3"/>
        <v/>
      </c>
      <c r="F81" s="20" t="str">
        <f t="shared" si="4"/>
        <v/>
      </c>
      <c r="G81" s="21"/>
    </row>
    <row r="82" spans="2:7" x14ac:dyDescent="0.15">
      <c r="B82" s="19" t="str">
        <f>IF(データ入力!E78="","",データ入力!E78)</f>
        <v/>
      </c>
      <c r="C82" s="19" t="str">
        <f>IF(データ入力!G78="","",データ入力!G78)</f>
        <v/>
      </c>
      <c r="D82" s="20" t="str">
        <f t="shared" si="5"/>
        <v/>
      </c>
      <c r="E82" s="20" t="str">
        <f t="shared" si="3"/>
        <v/>
      </c>
      <c r="F82" s="20" t="str">
        <f t="shared" si="4"/>
        <v/>
      </c>
      <c r="G82" s="21"/>
    </row>
    <row r="83" spans="2:7" x14ac:dyDescent="0.15">
      <c r="B83" s="19" t="str">
        <f>IF(データ入力!E79="","",データ入力!E79)</f>
        <v/>
      </c>
      <c r="C83" s="19" t="str">
        <f>IF(データ入力!G79="","",データ入力!G79)</f>
        <v/>
      </c>
      <c r="D83" s="20" t="str">
        <f t="shared" si="5"/>
        <v/>
      </c>
      <c r="E83" s="20" t="str">
        <f t="shared" si="3"/>
        <v/>
      </c>
      <c r="F83" s="20" t="str">
        <f t="shared" si="4"/>
        <v/>
      </c>
      <c r="G83" s="21"/>
    </row>
    <row r="84" spans="2:7" x14ac:dyDescent="0.15">
      <c r="B84" s="19" t="str">
        <f>IF(データ入力!E80="","",データ入力!E80)</f>
        <v/>
      </c>
      <c r="C84" s="19" t="str">
        <f>IF(データ入力!G80="","",データ入力!G80)</f>
        <v/>
      </c>
      <c r="D84" s="20" t="str">
        <f t="shared" si="5"/>
        <v/>
      </c>
      <c r="E84" s="20" t="str">
        <f t="shared" si="3"/>
        <v/>
      </c>
      <c r="F84" s="20" t="str">
        <f t="shared" si="4"/>
        <v/>
      </c>
      <c r="G84" s="21"/>
    </row>
    <row r="85" spans="2:7" x14ac:dyDescent="0.15">
      <c r="B85" s="19" t="str">
        <f>IF(データ入力!E81="","",データ入力!E81)</f>
        <v/>
      </c>
      <c r="C85" s="19" t="str">
        <f>IF(データ入力!G81="","",データ入力!G81)</f>
        <v/>
      </c>
      <c r="D85" s="20" t="str">
        <f t="shared" si="5"/>
        <v/>
      </c>
      <c r="E85" s="20" t="str">
        <f t="shared" si="3"/>
        <v/>
      </c>
      <c r="F85" s="20" t="str">
        <f t="shared" si="4"/>
        <v/>
      </c>
      <c r="G85" s="21"/>
    </row>
    <row r="86" spans="2:7" x14ac:dyDescent="0.15">
      <c r="B86" s="19" t="str">
        <f>IF(データ入力!E82="","",データ入力!E82)</f>
        <v/>
      </c>
      <c r="C86" s="19" t="str">
        <f>IF(データ入力!G82="","",データ入力!G82)</f>
        <v/>
      </c>
      <c r="D86" s="20" t="str">
        <f t="shared" si="5"/>
        <v/>
      </c>
      <c r="E86" s="20" t="str">
        <f t="shared" si="3"/>
        <v/>
      </c>
      <c r="F86" s="20" t="str">
        <f t="shared" si="4"/>
        <v/>
      </c>
      <c r="G86" s="21"/>
    </row>
    <row r="87" spans="2:7" x14ac:dyDescent="0.15">
      <c r="B87" s="19" t="str">
        <f>IF(データ入力!E83="","",データ入力!E83)</f>
        <v/>
      </c>
      <c r="C87" s="19" t="str">
        <f>IF(データ入力!G83="","",データ入力!G83)</f>
        <v/>
      </c>
      <c r="D87" s="20" t="str">
        <f t="shared" si="5"/>
        <v/>
      </c>
      <c r="E87" s="20" t="str">
        <f t="shared" si="3"/>
        <v/>
      </c>
      <c r="F87" s="20" t="str">
        <f t="shared" si="4"/>
        <v/>
      </c>
      <c r="G87" s="21"/>
    </row>
    <row r="88" spans="2:7" x14ac:dyDescent="0.15">
      <c r="B88" s="19" t="str">
        <f>IF(データ入力!E84="","",データ入力!E84)</f>
        <v/>
      </c>
      <c r="C88" s="19" t="str">
        <f>IF(データ入力!G84="","",データ入力!G84)</f>
        <v/>
      </c>
      <c r="D88" s="20" t="str">
        <f t="shared" si="5"/>
        <v/>
      </c>
      <c r="E88" s="20" t="str">
        <f t="shared" si="3"/>
        <v/>
      </c>
      <c r="F88" s="20" t="str">
        <f t="shared" si="4"/>
        <v/>
      </c>
      <c r="G88" s="21"/>
    </row>
    <row r="89" spans="2:7" x14ac:dyDescent="0.15">
      <c r="B89" s="19" t="str">
        <f>IF(データ入力!E85="","",データ入力!E85)</f>
        <v/>
      </c>
      <c r="C89" s="19" t="str">
        <f>IF(データ入力!G85="","",データ入力!G85)</f>
        <v/>
      </c>
      <c r="D89" s="20" t="str">
        <f t="shared" si="5"/>
        <v/>
      </c>
      <c r="E89" s="20" t="str">
        <f t="shared" si="3"/>
        <v/>
      </c>
      <c r="F89" s="20" t="str">
        <f t="shared" si="4"/>
        <v/>
      </c>
      <c r="G89" s="21"/>
    </row>
    <row r="90" spans="2:7" x14ac:dyDescent="0.15">
      <c r="B90" s="19" t="str">
        <f>IF(データ入力!E86="","",データ入力!E86)</f>
        <v/>
      </c>
      <c r="C90" s="19" t="str">
        <f>IF(データ入力!G86="","",データ入力!G86)</f>
        <v/>
      </c>
      <c r="D90" s="20" t="str">
        <f t="shared" si="5"/>
        <v/>
      </c>
      <c r="E90" s="20" t="str">
        <f t="shared" si="3"/>
        <v/>
      </c>
      <c r="F90" s="20" t="str">
        <f t="shared" si="4"/>
        <v/>
      </c>
      <c r="G90" s="21"/>
    </row>
    <row r="91" spans="2:7" x14ac:dyDescent="0.15">
      <c r="B91" s="19" t="str">
        <f>IF(データ入力!E87="","",データ入力!E87)</f>
        <v/>
      </c>
      <c r="C91" s="19" t="str">
        <f>IF(データ入力!G87="","",データ入力!G87)</f>
        <v/>
      </c>
      <c r="D91" s="20" t="str">
        <f t="shared" si="5"/>
        <v/>
      </c>
      <c r="E91" s="20" t="str">
        <f t="shared" si="3"/>
        <v/>
      </c>
      <c r="F91" s="20" t="str">
        <f t="shared" si="4"/>
        <v/>
      </c>
      <c r="G91" s="21"/>
    </row>
    <row r="92" spans="2:7" x14ac:dyDescent="0.15">
      <c r="B92" s="19" t="str">
        <f>IF(データ入力!E88="","",データ入力!E88)</f>
        <v/>
      </c>
      <c r="C92" s="19" t="str">
        <f>IF(データ入力!G88="","",データ入力!G88)</f>
        <v/>
      </c>
      <c r="D92" s="20" t="str">
        <f t="shared" si="5"/>
        <v/>
      </c>
      <c r="E92" s="20" t="str">
        <f t="shared" si="3"/>
        <v/>
      </c>
      <c r="F92" s="20" t="str">
        <f t="shared" si="4"/>
        <v/>
      </c>
      <c r="G92" s="21"/>
    </row>
    <row r="93" spans="2:7" x14ac:dyDescent="0.15">
      <c r="B93" s="19" t="str">
        <f>IF(データ入力!E89="","",データ入力!E89)</f>
        <v/>
      </c>
      <c r="C93" s="19" t="str">
        <f>IF(データ入力!G89="","",データ入力!G89)</f>
        <v/>
      </c>
      <c r="D93" s="20" t="str">
        <f t="shared" si="5"/>
        <v/>
      </c>
      <c r="E93" s="20" t="str">
        <f t="shared" si="3"/>
        <v/>
      </c>
      <c r="F93" s="20" t="str">
        <f t="shared" si="4"/>
        <v/>
      </c>
      <c r="G93" s="21"/>
    </row>
    <row r="94" spans="2:7" x14ac:dyDescent="0.15">
      <c r="B94" s="19" t="str">
        <f>IF(データ入力!E90="","",データ入力!E90)</f>
        <v/>
      </c>
      <c r="C94" s="19" t="str">
        <f>IF(データ入力!G90="","",データ入力!G90)</f>
        <v/>
      </c>
      <c r="D94" s="20" t="str">
        <f t="shared" si="5"/>
        <v/>
      </c>
      <c r="E94" s="20" t="str">
        <f t="shared" si="3"/>
        <v/>
      </c>
      <c r="F94" s="20" t="str">
        <f t="shared" si="4"/>
        <v/>
      </c>
      <c r="G94" s="21"/>
    </row>
    <row r="95" spans="2:7" x14ac:dyDescent="0.15">
      <c r="B95" s="19" t="str">
        <f>IF(データ入力!E91="","",データ入力!E91)</f>
        <v/>
      </c>
      <c r="C95" s="19" t="str">
        <f>IF(データ入力!G91="","",データ入力!G91)</f>
        <v/>
      </c>
      <c r="D95" s="20" t="str">
        <f t="shared" si="5"/>
        <v/>
      </c>
      <c r="E95" s="20" t="str">
        <f t="shared" si="3"/>
        <v/>
      </c>
      <c r="F95" s="20" t="str">
        <f t="shared" si="4"/>
        <v/>
      </c>
      <c r="G95" s="21"/>
    </row>
    <row r="96" spans="2:7" x14ac:dyDescent="0.15">
      <c r="B96" s="19" t="str">
        <f>IF(データ入力!E92="","",データ入力!E92)</f>
        <v/>
      </c>
      <c r="C96" s="19" t="str">
        <f>IF(データ入力!G92="","",データ入力!G92)</f>
        <v/>
      </c>
      <c r="D96" s="20" t="str">
        <f t="shared" si="5"/>
        <v/>
      </c>
      <c r="E96" s="20" t="str">
        <f t="shared" si="3"/>
        <v/>
      </c>
      <c r="F96" s="20" t="str">
        <f t="shared" si="4"/>
        <v/>
      </c>
      <c r="G96" s="21"/>
    </row>
    <row r="97" spans="2:7" x14ac:dyDescent="0.15">
      <c r="B97" s="19" t="str">
        <f>IF(データ入力!E93="","",データ入力!E93)</f>
        <v/>
      </c>
      <c r="C97" s="19" t="str">
        <f>IF(データ入力!G93="","",データ入力!G93)</f>
        <v/>
      </c>
      <c r="D97" s="20" t="str">
        <f t="shared" si="5"/>
        <v/>
      </c>
      <c r="E97" s="20" t="str">
        <f t="shared" si="3"/>
        <v/>
      </c>
      <c r="F97" s="20" t="str">
        <f t="shared" si="4"/>
        <v/>
      </c>
      <c r="G97" s="21"/>
    </row>
    <row r="98" spans="2:7" x14ac:dyDescent="0.15">
      <c r="B98" s="19" t="str">
        <f>IF(データ入力!E94="","",データ入力!E94)</f>
        <v/>
      </c>
      <c r="C98" s="19" t="str">
        <f>IF(データ入力!G94="","",データ入力!G94)</f>
        <v/>
      </c>
      <c r="D98" s="20" t="str">
        <f t="shared" si="5"/>
        <v/>
      </c>
      <c r="E98" s="20" t="str">
        <f t="shared" si="3"/>
        <v/>
      </c>
      <c r="F98" s="20" t="str">
        <f t="shared" si="4"/>
        <v/>
      </c>
      <c r="G98" s="21"/>
    </row>
    <row r="99" spans="2:7" x14ac:dyDescent="0.15">
      <c r="B99" s="19" t="str">
        <f>IF(データ入力!E95="","",データ入力!E95)</f>
        <v/>
      </c>
      <c r="C99" s="19" t="str">
        <f>IF(データ入力!G95="","",データ入力!G95)</f>
        <v/>
      </c>
      <c r="D99" s="20" t="str">
        <f t="shared" si="5"/>
        <v/>
      </c>
      <c r="E99" s="20" t="str">
        <f t="shared" si="3"/>
        <v/>
      </c>
      <c r="F99" s="20" t="str">
        <f t="shared" si="4"/>
        <v/>
      </c>
      <c r="G99" s="21"/>
    </row>
    <row r="100" spans="2:7" x14ac:dyDescent="0.15">
      <c r="B100" s="19" t="str">
        <f>IF(データ入力!E96="","",データ入力!E96)</f>
        <v/>
      </c>
      <c r="C100" s="19" t="str">
        <f>IF(データ入力!G96="","",データ入力!G96)</f>
        <v/>
      </c>
      <c r="D100" s="20" t="str">
        <f t="shared" si="5"/>
        <v/>
      </c>
      <c r="E100" s="20" t="str">
        <f t="shared" si="3"/>
        <v/>
      </c>
      <c r="F100" s="20" t="str">
        <f t="shared" si="4"/>
        <v/>
      </c>
      <c r="G100" s="21"/>
    </row>
    <row r="101" spans="2:7" x14ac:dyDescent="0.15">
      <c r="B101" s="19" t="str">
        <f>IF(データ入力!E97="","",データ入力!E97)</f>
        <v/>
      </c>
      <c r="C101" s="19" t="str">
        <f>IF(データ入力!G97="","",データ入力!G97)</f>
        <v/>
      </c>
      <c r="D101" s="20" t="str">
        <f t="shared" si="5"/>
        <v/>
      </c>
      <c r="E101" s="20" t="str">
        <f t="shared" si="3"/>
        <v/>
      </c>
      <c r="F101" s="20" t="str">
        <f t="shared" si="4"/>
        <v/>
      </c>
      <c r="G101" s="21"/>
    </row>
    <row r="102" spans="2:7" x14ac:dyDescent="0.15">
      <c r="B102" s="19" t="str">
        <f>IF(データ入力!E98="","",データ入力!E98)</f>
        <v/>
      </c>
      <c r="C102" s="19" t="str">
        <f>IF(データ入力!G98="","",データ入力!G98)</f>
        <v/>
      </c>
      <c r="D102" s="20" t="str">
        <f t="shared" si="5"/>
        <v/>
      </c>
      <c r="E102" s="20" t="str">
        <f t="shared" si="3"/>
        <v/>
      </c>
      <c r="F102" s="20" t="str">
        <f t="shared" si="4"/>
        <v/>
      </c>
      <c r="G102" s="21"/>
    </row>
    <row r="103" spans="2:7" x14ac:dyDescent="0.15">
      <c r="B103" s="19" t="str">
        <f>IF(データ入力!E99="","",データ入力!E99)</f>
        <v/>
      </c>
      <c r="C103" s="19" t="str">
        <f>IF(データ入力!G99="","",データ入力!G99)</f>
        <v/>
      </c>
      <c r="D103" s="20" t="str">
        <f t="shared" si="5"/>
        <v/>
      </c>
      <c r="E103" s="20" t="str">
        <f t="shared" si="3"/>
        <v/>
      </c>
      <c r="F103" s="20" t="str">
        <f t="shared" si="4"/>
        <v/>
      </c>
      <c r="G103" s="21"/>
    </row>
    <row r="104" spans="2:7" x14ac:dyDescent="0.15">
      <c r="B104" s="19" t="str">
        <f>IF(データ入力!E100="","",データ入力!E100)</f>
        <v/>
      </c>
      <c r="C104" s="19" t="str">
        <f>IF(データ入力!G100="","",データ入力!G100)</f>
        <v/>
      </c>
      <c r="D104" s="20" t="str">
        <f t="shared" si="5"/>
        <v/>
      </c>
      <c r="E104" s="20" t="str">
        <f t="shared" si="3"/>
        <v/>
      </c>
      <c r="F104" s="20" t="str">
        <f t="shared" si="4"/>
        <v/>
      </c>
      <c r="G104" s="21"/>
    </row>
    <row r="105" spans="2:7" x14ac:dyDescent="0.15">
      <c r="B105" s="19" t="str">
        <f>IF(データ入力!E101="","",データ入力!E101)</f>
        <v/>
      </c>
      <c r="C105" s="19" t="str">
        <f>IF(データ入力!G101="","",データ入力!G101)</f>
        <v/>
      </c>
      <c r="D105" s="20" t="str">
        <f t="shared" si="5"/>
        <v/>
      </c>
      <c r="E105" s="20" t="str">
        <f t="shared" si="3"/>
        <v/>
      </c>
      <c r="F105" s="20" t="str">
        <f t="shared" si="4"/>
        <v/>
      </c>
      <c r="G105" s="21"/>
    </row>
    <row r="106" spans="2:7" x14ac:dyDescent="0.15">
      <c r="B106" s="19" t="str">
        <f>IF(データ入力!E102="","",データ入力!E102)</f>
        <v/>
      </c>
      <c r="C106" s="19" t="str">
        <f>IF(データ入力!G102="","",データ入力!G102)</f>
        <v/>
      </c>
      <c r="D106" s="20" t="str">
        <f t="shared" si="5"/>
        <v/>
      </c>
      <c r="E106" s="20" t="str">
        <f t="shared" si="3"/>
        <v/>
      </c>
      <c r="F106" s="20" t="str">
        <f t="shared" si="4"/>
        <v/>
      </c>
      <c r="G106" s="21"/>
    </row>
    <row r="107" spans="2:7" x14ac:dyDescent="0.15">
      <c r="B107" s="19" t="str">
        <f>IF(データ入力!E103="","",データ入力!E103)</f>
        <v/>
      </c>
      <c r="C107" s="19" t="str">
        <f>IF(データ入力!G103="","",データ入力!G103)</f>
        <v/>
      </c>
      <c r="D107" s="20" t="str">
        <f t="shared" si="5"/>
        <v/>
      </c>
      <c r="E107" s="20" t="str">
        <f t="shared" si="3"/>
        <v/>
      </c>
      <c r="F107" s="20" t="str">
        <f t="shared" si="4"/>
        <v/>
      </c>
      <c r="G107" s="21"/>
    </row>
    <row r="108" spans="2:7" x14ac:dyDescent="0.15">
      <c r="B108" s="19" t="str">
        <f>IF(データ入力!E104="","",データ入力!E104)</f>
        <v/>
      </c>
      <c r="C108" s="19" t="str">
        <f>IF(データ入力!G104="","",データ入力!G104)</f>
        <v/>
      </c>
      <c r="D108" s="20" t="str">
        <f t="shared" si="5"/>
        <v/>
      </c>
      <c r="E108" s="20" t="str">
        <f t="shared" si="3"/>
        <v/>
      </c>
      <c r="F108" s="20" t="str">
        <f t="shared" si="4"/>
        <v/>
      </c>
      <c r="G108" s="21"/>
    </row>
    <row r="109" spans="2:7" x14ac:dyDescent="0.15">
      <c r="B109" s="19" t="str">
        <f>IF(データ入力!E105="","",データ入力!E105)</f>
        <v/>
      </c>
      <c r="C109" s="19" t="str">
        <f>IF(データ入力!G105="","",データ入力!G105)</f>
        <v/>
      </c>
      <c r="D109" s="20" t="str">
        <f t="shared" si="5"/>
        <v/>
      </c>
      <c r="E109" s="20" t="str">
        <f t="shared" si="3"/>
        <v/>
      </c>
      <c r="F109" s="20" t="str">
        <f t="shared" si="4"/>
        <v/>
      </c>
      <c r="G109" s="21"/>
    </row>
  </sheetData>
  <scenarios current="0">
    <scenario name="srgm_test" count="3" user="Tomi" comment="作成者 : Tomi 日付 : 8/19/2010">
      <inputCells r="C4" val="85.2303964347601"/>
      <inputCells r="C5" val="12.4553706530314"/>
      <inputCells r="C6" val="0.986959959300145"/>
    </scenario>
  </scenarios>
  <mergeCells count="2">
    <mergeCell ref="E4:F4"/>
    <mergeCell ref="E5:F5"/>
  </mergeCells>
  <phoneticPr fontId="2"/>
  <pageMargins left="0.75" right="0.75" top="1" bottom="1"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6146" r:id="rId4" name="CommandButton1">
          <controlPr defaultSize="0" autoLine="0" r:id="rId5">
            <anchor moveWithCells="1">
              <from>
                <xdr:col>6</xdr:col>
                <xdr:colOff>114300</xdr:colOff>
                <xdr:row>5</xdr:row>
                <xdr:rowOff>57150</xdr:rowOff>
              </from>
              <to>
                <xdr:col>6</xdr:col>
                <xdr:colOff>885825</xdr:colOff>
                <xdr:row>6</xdr:row>
                <xdr:rowOff>142875</xdr:rowOff>
              </to>
            </anchor>
          </controlPr>
        </control>
      </mc:Choice>
      <mc:Fallback>
        <control shapeId="6146"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Q109"/>
  <sheetViews>
    <sheetView zoomScaleNormal="100" workbookViewId="0"/>
  </sheetViews>
  <sheetFormatPr defaultRowHeight="13.5" x14ac:dyDescent="0.15"/>
  <cols>
    <col min="1" max="1" width="2.625" style="1" customWidth="1"/>
    <col min="2" max="7" width="13.25" style="1" customWidth="1"/>
    <col min="8" max="9" width="9.5" style="1" customWidth="1"/>
    <col min="10" max="10" width="3.375" style="1" customWidth="1"/>
    <col min="11" max="12" width="9.5" style="1" customWidth="1"/>
    <col min="13" max="16384" width="9" style="1"/>
  </cols>
  <sheetData>
    <row r="1" spans="2:17" x14ac:dyDescent="0.15">
      <c r="E1" s="1" t="s">
        <v>38</v>
      </c>
    </row>
    <row r="2" spans="2:17" x14ac:dyDescent="0.15">
      <c r="B2" s="1" t="s">
        <v>0</v>
      </c>
      <c r="C2" s="1" t="s">
        <v>84</v>
      </c>
      <c r="E2" s="2" t="s">
        <v>29</v>
      </c>
      <c r="F2" s="3">
        <f>MAX(D10:D109)/C4*100</f>
        <v>98.701981103546359</v>
      </c>
      <c r="Q2"/>
    </row>
    <row r="3" spans="2:17" x14ac:dyDescent="0.15">
      <c r="B3" s="1" t="s">
        <v>61</v>
      </c>
      <c r="C3" s="1">
        <v>2</v>
      </c>
      <c r="E3" s="4" t="s">
        <v>39</v>
      </c>
      <c r="F3" s="3">
        <f>C4-MAX(D10:D109)</f>
        <v>1.931182676538441</v>
      </c>
      <c r="H3" s="1" t="s">
        <v>7</v>
      </c>
      <c r="J3" s="5"/>
      <c r="K3" s="1" t="s">
        <v>8</v>
      </c>
      <c r="N3" s="5" t="s">
        <v>64</v>
      </c>
      <c r="O3" s="5"/>
    </row>
    <row r="4" spans="2:17" ht="14.25" thickBot="1" x14ac:dyDescent="0.2">
      <c r="B4" s="6" t="s">
        <v>11</v>
      </c>
      <c r="C4" s="3">
        <v>148.77924210615708</v>
      </c>
      <c r="E4" s="61" t="s">
        <v>6</v>
      </c>
      <c r="F4" s="62"/>
      <c r="H4" s="7">
        <v>0.95</v>
      </c>
      <c r="I4" s="8" t="s">
        <v>9</v>
      </c>
      <c r="J4" s="5"/>
      <c r="K4" s="9">
        <v>0.99</v>
      </c>
      <c r="L4" s="10" t="s">
        <v>9</v>
      </c>
      <c r="N4" s="15" t="s">
        <v>25</v>
      </c>
      <c r="O4" s="31">
        <f>C7*LN((2*3.14*E5/C7)+1)+2*(C3+1)</f>
        <v>64.337395656875756</v>
      </c>
    </row>
    <row r="5" spans="2:17" x14ac:dyDescent="0.15">
      <c r="B5" s="6" t="s">
        <v>12</v>
      </c>
      <c r="C5" s="3">
        <v>0.12933269883489668</v>
      </c>
      <c r="E5" s="63">
        <f>SUM(F10:F109)</f>
        <v>1869.7592167401901</v>
      </c>
      <c r="F5" s="64"/>
      <c r="H5" s="23">
        <f>C4*0.95</f>
        <v>141.34028000084922</v>
      </c>
      <c r="I5" s="22">
        <v>36.679548211395741</v>
      </c>
      <c r="J5" s="5"/>
      <c r="K5" s="22">
        <f>C4*0.99</f>
        <v>147.2914496850955</v>
      </c>
      <c r="L5" s="22">
        <v>51.327701658010483</v>
      </c>
    </row>
    <row r="6" spans="2:17" x14ac:dyDescent="0.15">
      <c r="B6" s="13"/>
      <c r="C6" s="13"/>
      <c r="E6" s="1" t="s">
        <v>10</v>
      </c>
      <c r="H6" s="1" t="s">
        <v>10</v>
      </c>
      <c r="J6" s="5"/>
      <c r="K6" s="1" t="s">
        <v>10</v>
      </c>
    </row>
    <row r="7" spans="2:17" x14ac:dyDescent="0.15">
      <c r="B7" s="14" t="s">
        <v>30</v>
      </c>
      <c r="C7" s="29">
        <f>COUNT(C10:C109)</f>
        <v>8</v>
      </c>
      <c r="I7" s="1" t="s">
        <v>89</v>
      </c>
    </row>
    <row r="8" spans="2:17" x14ac:dyDescent="0.15">
      <c r="B8" s="15" t="s">
        <v>1</v>
      </c>
    </row>
    <row r="9" spans="2:17" ht="27.75" thickBot="1" x14ac:dyDescent="0.2">
      <c r="B9" s="16" t="s">
        <v>45</v>
      </c>
      <c r="C9" s="17" t="s">
        <v>3</v>
      </c>
      <c r="D9" s="17" t="s">
        <v>34</v>
      </c>
      <c r="E9" s="17" t="s">
        <v>4</v>
      </c>
      <c r="F9" s="17" t="s">
        <v>5</v>
      </c>
      <c r="G9" s="18"/>
    </row>
    <row r="10" spans="2:17" x14ac:dyDescent="0.15">
      <c r="B10" s="19">
        <f>IF(データ入力!E6="","",データ入力!E6)</f>
        <v>0</v>
      </c>
      <c r="C10" s="19">
        <f>IF(データ入力!G6="","",データ入力!G6)</f>
        <v>1</v>
      </c>
      <c r="D10" s="20">
        <f>IF(B10="","",IF(B10=0,0,$C$4*(1-(1+$C$5*B10)*EXP(-$C$5*B10))))</f>
        <v>0</v>
      </c>
      <c r="E10" s="20">
        <f t="shared" ref="E10:E73" si="0">IF(C10="","",C10-D10)</f>
        <v>1</v>
      </c>
      <c r="F10" s="20">
        <f t="shared" ref="F10:F73" si="1">IF(E10="","",E10^2)</f>
        <v>1</v>
      </c>
      <c r="G10" s="21"/>
    </row>
    <row r="11" spans="2:17" x14ac:dyDescent="0.15">
      <c r="B11" s="19">
        <f>IF(データ入力!E7="","",データ入力!E7)</f>
        <v>7</v>
      </c>
      <c r="C11" s="19">
        <f>IF(データ入力!G7="","",データ入力!G7)</f>
        <v>67</v>
      </c>
      <c r="D11" s="20">
        <f t="shared" ref="D11:D74" si="2">IF(B11="","",IF(B11=0,0,$C$4*(1-(1+$C$5*B11)*EXP(-$C$5*B11))))</f>
        <v>34.140093231271841</v>
      </c>
      <c r="E11" s="20">
        <f t="shared" si="0"/>
        <v>32.859906768728159</v>
      </c>
      <c r="F11" s="20">
        <f t="shared" si="1"/>
        <v>1079.7734728495068</v>
      </c>
      <c r="G11" s="21"/>
    </row>
    <row r="12" spans="2:17" x14ac:dyDescent="0.15">
      <c r="B12" s="19">
        <f>IF(データ入力!E8="","",データ入力!E8)</f>
        <v>14</v>
      </c>
      <c r="C12" s="19">
        <f>IF(データ入力!G8="","",データ入力!G8)</f>
        <v>81</v>
      </c>
      <c r="D12" s="20">
        <f t="shared" si="2"/>
        <v>80.389395671084984</v>
      </c>
      <c r="E12" s="20">
        <f t="shared" si="0"/>
        <v>0.61060432891501648</v>
      </c>
      <c r="F12" s="20">
        <f t="shared" si="1"/>
        <v>0.37283764648975765</v>
      </c>
      <c r="G12" s="21"/>
    </row>
    <row r="13" spans="2:17" x14ac:dyDescent="0.15">
      <c r="B13" s="19">
        <f>IF(データ入力!E9="","",データ入力!E9)</f>
        <v>21</v>
      </c>
      <c r="C13" s="19">
        <f>IF(データ入力!G9="","",データ入力!G9)</f>
        <v>99</v>
      </c>
      <c r="D13" s="20">
        <f t="shared" si="2"/>
        <v>112.21315714505432</v>
      </c>
      <c r="E13" s="20">
        <f t="shared" si="0"/>
        <v>-13.213157145054325</v>
      </c>
      <c r="F13" s="20">
        <f t="shared" si="1"/>
        <v>174.58752173990015</v>
      </c>
      <c r="G13" s="21"/>
    </row>
    <row r="14" spans="2:17" x14ac:dyDescent="0.15">
      <c r="B14" s="19">
        <f>IF(データ入力!E10="","",データ入力!E10)</f>
        <v>28</v>
      </c>
      <c r="C14" s="19">
        <f>IF(データ入力!G10="","",データ入力!G10)</f>
        <v>117</v>
      </c>
      <c r="D14" s="20">
        <f t="shared" si="2"/>
        <v>130.38886650308913</v>
      </c>
      <c r="E14" s="20">
        <f t="shared" si="0"/>
        <v>-13.388866503089133</v>
      </c>
      <c r="F14" s="20">
        <f t="shared" si="1"/>
        <v>179.26174623754224</v>
      </c>
      <c r="G14" s="21"/>
    </row>
    <row r="15" spans="2:17" x14ac:dyDescent="0.15">
      <c r="B15" s="19">
        <f>IF(データ入力!E11="","",データ入力!E11)</f>
        <v>35</v>
      </c>
      <c r="C15" s="19">
        <f>IF(データ入力!G11="","",データ入力!G11)</f>
        <v>132</v>
      </c>
      <c r="D15" s="20">
        <f t="shared" si="2"/>
        <v>139.88503663300327</v>
      </c>
      <c r="E15" s="20">
        <f t="shared" si="0"/>
        <v>-7.8850366330032671</v>
      </c>
      <c r="F15" s="20">
        <f t="shared" si="1"/>
        <v>62.173802703803496</v>
      </c>
      <c r="G15" s="21"/>
    </row>
    <row r="16" spans="2:17" x14ac:dyDescent="0.15">
      <c r="B16" s="19">
        <f>IF(データ入力!E12="","",データ入力!E12)</f>
        <v>42</v>
      </c>
      <c r="C16" s="19">
        <f>IF(データ入力!G12="","",データ入力!G12)</f>
        <v>147</v>
      </c>
      <c r="D16" s="20">
        <f t="shared" si="2"/>
        <v>144.5931331670555</v>
      </c>
      <c r="E16" s="20">
        <f t="shared" si="0"/>
        <v>2.4068668329445018</v>
      </c>
      <c r="F16" s="20">
        <f t="shared" si="1"/>
        <v>5.7930079515282964</v>
      </c>
      <c r="G16" s="21"/>
    </row>
    <row r="17" spans="2:7" x14ac:dyDescent="0.15">
      <c r="B17" s="19">
        <f>IF(データ入力!E13="","",データ入力!E13)</f>
        <v>49</v>
      </c>
      <c r="C17" s="19">
        <f>IF(データ入力!G13="","",データ入力!G13)</f>
        <v>166</v>
      </c>
      <c r="D17" s="20">
        <f t="shared" si="2"/>
        <v>146.84805942961864</v>
      </c>
      <c r="E17" s="20">
        <f t="shared" si="0"/>
        <v>19.151940570381356</v>
      </c>
      <c r="F17" s="20">
        <f t="shared" si="1"/>
        <v>366.79682761141936</v>
      </c>
      <c r="G17" s="21"/>
    </row>
    <row r="18" spans="2:7" x14ac:dyDescent="0.15">
      <c r="B18" s="19" t="str">
        <f>IF(データ入力!E14="","",データ入力!E14)</f>
        <v/>
      </c>
      <c r="C18" s="19" t="str">
        <f>IF(データ入力!G14="","",データ入力!G14)</f>
        <v/>
      </c>
      <c r="D18" s="20" t="str">
        <f t="shared" si="2"/>
        <v/>
      </c>
      <c r="E18" s="20" t="str">
        <f t="shared" si="0"/>
        <v/>
      </c>
      <c r="F18" s="20" t="str">
        <f t="shared" si="1"/>
        <v/>
      </c>
      <c r="G18" s="21"/>
    </row>
    <row r="19" spans="2:7" x14ac:dyDescent="0.15">
      <c r="B19" s="19" t="str">
        <f>IF(データ入力!E15="","",データ入力!E15)</f>
        <v/>
      </c>
      <c r="C19" s="19" t="str">
        <f>IF(データ入力!G15="","",データ入力!G15)</f>
        <v/>
      </c>
      <c r="D19" s="20" t="str">
        <f t="shared" si="2"/>
        <v/>
      </c>
      <c r="E19" s="20" t="str">
        <f t="shared" si="0"/>
        <v/>
      </c>
      <c r="F19" s="20" t="str">
        <f t="shared" si="1"/>
        <v/>
      </c>
      <c r="G19" s="21"/>
    </row>
    <row r="20" spans="2:7" x14ac:dyDescent="0.15">
      <c r="B20" s="19" t="str">
        <f>IF(データ入力!E16="","",データ入力!E16)</f>
        <v/>
      </c>
      <c r="C20" s="19" t="str">
        <f>IF(データ入力!G16="","",データ入力!G16)</f>
        <v/>
      </c>
      <c r="D20" s="20" t="str">
        <f t="shared" si="2"/>
        <v/>
      </c>
      <c r="E20" s="20" t="str">
        <f t="shared" si="0"/>
        <v/>
      </c>
      <c r="F20" s="20" t="str">
        <f t="shared" si="1"/>
        <v/>
      </c>
      <c r="G20" s="21"/>
    </row>
    <row r="21" spans="2:7" x14ac:dyDescent="0.15">
      <c r="B21" s="19" t="str">
        <f>IF(データ入力!E17="","",データ入力!E17)</f>
        <v/>
      </c>
      <c r="C21" s="19" t="str">
        <f>IF(データ入力!G17="","",データ入力!G17)</f>
        <v/>
      </c>
      <c r="D21" s="20" t="str">
        <f t="shared" si="2"/>
        <v/>
      </c>
      <c r="E21" s="20" t="str">
        <f t="shared" si="0"/>
        <v/>
      </c>
      <c r="F21" s="20" t="str">
        <f t="shared" si="1"/>
        <v/>
      </c>
      <c r="G21" s="21"/>
    </row>
    <row r="22" spans="2:7" x14ac:dyDescent="0.15">
      <c r="B22" s="19" t="str">
        <f>IF(データ入力!E18="","",データ入力!E18)</f>
        <v/>
      </c>
      <c r="C22" s="19" t="str">
        <f>IF(データ入力!G18="","",データ入力!G18)</f>
        <v/>
      </c>
      <c r="D22" s="20" t="str">
        <f t="shared" si="2"/>
        <v/>
      </c>
      <c r="E22" s="20" t="str">
        <f t="shared" si="0"/>
        <v/>
      </c>
      <c r="F22" s="20" t="str">
        <f t="shared" si="1"/>
        <v/>
      </c>
      <c r="G22" s="21"/>
    </row>
    <row r="23" spans="2:7" x14ac:dyDescent="0.15">
      <c r="B23" s="19" t="str">
        <f>IF(データ入力!E19="","",データ入力!E19)</f>
        <v/>
      </c>
      <c r="C23" s="19" t="str">
        <f>IF(データ入力!G19="","",データ入力!G19)</f>
        <v/>
      </c>
      <c r="D23" s="20" t="str">
        <f t="shared" si="2"/>
        <v/>
      </c>
      <c r="E23" s="20" t="str">
        <f t="shared" si="0"/>
        <v/>
      </c>
      <c r="F23" s="20" t="str">
        <f t="shared" si="1"/>
        <v/>
      </c>
      <c r="G23" s="21"/>
    </row>
    <row r="24" spans="2:7" x14ac:dyDescent="0.15">
      <c r="B24" s="19" t="str">
        <f>IF(データ入力!E20="","",データ入力!E20)</f>
        <v/>
      </c>
      <c r="C24" s="19" t="str">
        <f>IF(データ入力!G20="","",データ入力!G20)</f>
        <v/>
      </c>
      <c r="D24" s="20" t="str">
        <f t="shared" si="2"/>
        <v/>
      </c>
      <c r="E24" s="20" t="str">
        <f t="shared" si="0"/>
        <v/>
      </c>
      <c r="F24" s="20" t="str">
        <f t="shared" si="1"/>
        <v/>
      </c>
      <c r="G24" s="21"/>
    </row>
    <row r="25" spans="2:7" x14ac:dyDescent="0.15">
      <c r="B25" s="19" t="str">
        <f>IF(データ入力!E21="","",データ入力!E21)</f>
        <v/>
      </c>
      <c r="C25" s="19" t="str">
        <f>IF(データ入力!G21="","",データ入力!G21)</f>
        <v/>
      </c>
      <c r="D25" s="20" t="str">
        <f t="shared" si="2"/>
        <v/>
      </c>
      <c r="E25" s="20" t="str">
        <f t="shared" si="0"/>
        <v/>
      </c>
      <c r="F25" s="20" t="str">
        <f t="shared" si="1"/>
        <v/>
      </c>
      <c r="G25" s="21"/>
    </row>
    <row r="26" spans="2:7" x14ac:dyDescent="0.15">
      <c r="B26" s="19" t="str">
        <f>IF(データ入力!E22="","",データ入力!E22)</f>
        <v/>
      </c>
      <c r="C26" s="19" t="str">
        <f>IF(データ入力!G22="","",データ入力!G22)</f>
        <v/>
      </c>
      <c r="D26" s="20" t="str">
        <f t="shared" si="2"/>
        <v/>
      </c>
      <c r="E26" s="20" t="str">
        <f t="shared" si="0"/>
        <v/>
      </c>
      <c r="F26" s="20" t="str">
        <f t="shared" si="1"/>
        <v/>
      </c>
      <c r="G26" s="21"/>
    </row>
    <row r="27" spans="2:7" x14ac:dyDescent="0.15">
      <c r="B27" s="19" t="str">
        <f>IF(データ入力!E23="","",データ入力!E23)</f>
        <v/>
      </c>
      <c r="C27" s="19" t="str">
        <f>IF(データ入力!G23="","",データ入力!G23)</f>
        <v/>
      </c>
      <c r="D27" s="20" t="str">
        <f t="shared" si="2"/>
        <v/>
      </c>
      <c r="E27" s="20" t="str">
        <f t="shared" si="0"/>
        <v/>
      </c>
      <c r="F27" s="20" t="str">
        <f t="shared" si="1"/>
        <v/>
      </c>
      <c r="G27" s="21"/>
    </row>
    <row r="28" spans="2:7" x14ac:dyDescent="0.15">
      <c r="B28" s="19" t="str">
        <f>IF(データ入力!E24="","",データ入力!E24)</f>
        <v/>
      </c>
      <c r="C28" s="19" t="str">
        <f>IF(データ入力!G24="","",データ入力!G24)</f>
        <v/>
      </c>
      <c r="D28" s="20" t="str">
        <f t="shared" si="2"/>
        <v/>
      </c>
      <c r="E28" s="20" t="str">
        <f t="shared" si="0"/>
        <v/>
      </c>
      <c r="F28" s="20" t="str">
        <f t="shared" si="1"/>
        <v/>
      </c>
      <c r="G28" s="21"/>
    </row>
    <row r="29" spans="2:7" x14ac:dyDescent="0.15">
      <c r="B29" s="19" t="str">
        <f>IF(データ入力!E25="","",データ入力!E25)</f>
        <v/>
      </c>
      <c r="C29" s="19" t="str">
        <f>IF(データ入力!G25="","",データ入力!G25)</f>
        <v/>
      </c>
      <c r="D29" s="20" t="str">
        <f t="shared" si="2"/>
        <v/>
      </c>
      <c r="E29" s="20" t="str">
        <f t="shared" si="0"/>
        <v/>
      </c>
      <c r="F29" s="20" t="str">
        <f t="shared" si="1"/>
        <v/>
      </c>
      <c r="G29" s="21"/>
    </row>
    <row r="30" spans="2:7" x14ac:dyDescent="0.15">
      <c r="B30" s="19" t="str">
        <f>IF(データ入力!E26="","",データ入力!E26)</f>
        <v/>
      </c>
      <c r="C30" s="19" t="str">
        <f>IF(データ入力!G26="","",データ入力!G26)</f>
        <v/>
      </c>
      <c r="D30" s="20" t="str">
        <f t="shared" si="2"/>
        <v/>
      </c>
      <c r="E30" s="20" t="str">
        <f t="shared" si="0"/>
        <v/>
      </c>
      <c r="F30" s="20" t="str">
        <f t="shared" si="1"/>
        <v/>
      </c>
      <c r="G30" s="21"/>
    </row>
    <row r="31" spans="2:7" x14ac:dyDescent="0.15">
      <c r="B31" s="19" t="str">
        <f>IF(データ入力!E27="","",データ入力!E27)</f>
        <v/>
      </c>
      <c r="C31" s="19" t="str">
        <f>IF(データ入力!G27="","",データ入力!G27)</f>
        <v/>
      </c>
      <c r="D31" s="20" t="str">
        <f t="shared" si="2"/>
        <v/>
      </c>
      <c r="E31" s="20" t="str">
        <f t="shared" si="0"/>
        <v/>
      </c>
      <c r="F31" s="20" t="str">
        <f t="shared" si="1"/>
        <v/>
      </c>
      <c r="G31" s="21"/>
    </row>
    <row r="32" spans="2:7" x14ac:dyDescent="0.15">
      <c r="B32" s="19" t="str">
        <f>IF(データ入力!E28="","",データ入力!E28)</f>
        <v/>
      </c>
      <c r="C32" s="19" t="str">
        <f>IF(データ入力!G28="","",データ入力!G28)</f>
        <v/>
      </c>
      <c r="D32" s="20" t="str">
        <f t="shared" si="2"/>
        <v/>
      </c>
      <c r="E32" s="20" t="str">
        <f t="shared" si="0"/>
        <v/>
      </c>
      <c r="F32" s="20" t="str">
        <f t="shared" si="1"/>
        <v/>
      </c>
      <c r="G32" s="21"/>
    </row>
    <row r="33" spans="2:16" x14ac:dyDescent="0.15">
      <c r="B33" s="19" t="str">
        <f>IF(データ入力!E29="","",データ入力!E29)</f>
        <v/>
      </c>
      <c r="C33" s="19" t="str">
        <f>IF(データ入力!G29="","",データ入力!G29)</f>
        <v/>
      </c>
      <c r="D33" s="20" t="str">
        <f t="shared" si="2"/>
        <v/>
      </c>
      <c r="E33" s="20" t="str">
        <f t="shared" si="0"/>
        <v/>
      </c>
      <c r="F33" s="20" t="str">
        <f t="shared" si="1"/>
        <v/>
      </c>
      <c r="G33" s="21"/>
    </row>
    <row r="34" spans="2:16" x14ac:dyDescent="0.15">
      <c r="B34" s="19" t="str">
        <f>IF(データ入力!E30="","",データ入力!E30)</f>
        <v/>
      </c>
      <c r="C34" s="19" t="str">
        <f>IF(データ入力!G30="","",データ入力!G30)</f>
        <v/>
      </c>
      <c r="D34" s="20" t="str">
        <f t="shared" si="2"/>
        <v/>
      </c>
      <c r="E34" s="20" t="str">
        <f t="shared" si="0"/>
        <v/>
      </c>
      <c r="F34" s="20" t="str">
        <f t="shared" si="1"/>
        <v/>
      </c>
      <c r="G34" s="21"/>
      <c r="H34" s="1" t="s">
        <v>37</v>
      </c>
    </row>
    <row r="35" spans="2:16" x14ac:dyDescent="0.15">
      <c r="B35" s="19" t="str">
        <f>IF(データ入力!E31="","",データ入力!E31)</f>
        <v/>
      </c>
      <c r="C35" s="19" t="str">
        <f>IF(データ入力!G31="","",データ入力!G31)</f>
        <v/>
      </c>
      <c r="D35" s="20" t="str">
        <f t="shared" si="2"/>
        <v/>
      </c>
      <c r="E35" s="20" t="str">
        <f t="shared" si="0"/>
        <v/>
      </c>
      <c r="F35" s="20" t="str">
        <f t="shared" si="1"/>
        <v/>
      </c>
      <c r="G35" s="21"/>
      <c r="H35" s="1" t="s">
        <v>35</v>
      </c>
    </row>
    <row r="36" spans="2:16" x14ac:dyDescent="0.15">
      <c r="B36" s="19" t="str">
        <f>IF(データ入力!E32="","",データ入力!E32)</f>
        <v/>
      </c>
      <c r="C36" s="19" t="str">
        <f>IF(データ入力!G32="","",データ入力!G32)</f>
        <v/>
      </c>
      <c r="D36" s="20" t="str">
        <f t="shared" si="2"/>
        <v/>
      </c>
      <c r="E36" s="20" t="str">
        <f t="shared" si="0"/>
        <v/>
      </c>
      <c r="F36" s="20" t="str">
        <f t="shared" si="1"/>
        <v/>
      </c>
      <c r="G36" s="21"/>
      <c r="H36" s="2">
        <v>0</v>
      </c>
      <c r="I36" s="3">
        <f>$H$5</f>
        <v>141.34028000084922</v>
      </c>
      <c r="N36" s="55"/>
      <c r="P36" s="55"/>
    </row>
    <row r="37" spans="2:16" x14ac:dyDescent="0.15">
      <c r="B37" s="19" t="str">
        <f>IF(データ入力!E33="","",データ入力!E33)</f>
        <v/>
      </c>
      <c r="C37" s="19" t="str">
        <f>IF(データ入力!G33="","",データ入力!G33)</f>
        <v/>
      </c>
      <c r="D37" s="20" t="str">
        <f t="shared" si="2"/>
        <v/>
      </c>
      <c r="E37" s="20" t="str">
        <f t="shared" si="0"/>
        <v/>
      </c>
      <c r="F37" s="20" t="str">
        <f t="shared" si="1"/>
        <v/>
      </c>
      <c r="G37" s="21"/>
      <c r="H37" s="2">
        <f>MAX(B10:B109)</f>
        <v>49</v>
      </c>
      <c r="I37" s="3">
        <f>$H$5</f>
        <v>141.34028000084922</v>
      </c>
      <c r="P37" s="55"/>
    </row>
    <row r="38" spans="2:16" x14ac:dyDescent="0.15">
      <c r="B38" s="19" t="str">
        <f>IF(データ入力!E34="","",データ入力!E34)</f>
        <v/>
      </c>
      <c r="C38" s="19" t="str">
        <f>IF(データ入力!G34="","",データ入力!G34)</f>
        <v/>
      </c>
      <c r="D38" s="20" t="str">
        <f t="shared" si="2"/>
        <v/>
      </c>
      <c r="E38" s="20" t="str">
        <f t="shared" si="0"/>
        <v/>
      </c>
      <c r="F38" s="20" t="str">
        <f t="shared" si="1"/>
        <v/>
      </c>
      <c r="G38" s="21"/>
      <c r="H38" s="1" t="s">
        <v>36</v>
      </c>
      <c r="P38" s="55"/>
    </row>
    <row r="39" spans="2:16" x14ac:dyDescent="0.15">
      <c r="B39" s="19" t="str">
        <f>IF(データ入力!E35="","",データ入力!E35)</f>
        <v/>
      </c>
      <c r="C39" s="19" t="str">
        <f>IF(データ入力!G35="","",データ入力!G35)</f>
        <v/>
      </c>
      <c r="D39" s="20" t="str">
        <f t="shared" si="2"/>
        <v/>
      </c>
      <c r="E39" s="20" t="str">
        <f t="shared" si="0"/>
        <v/>
      </c>
      <c r="F39" s="20" t="str">
        <f t="shared" si="1"/>
        <v/>
      </c>
      <c r="G39" s="21"/>
      <c r="H39" s="2">
        <v>0</v>
      </c>
      <c r="I39" s="3">
        <f>$K$5</f>
        <v>147.2914496850955</v>
      </c>
      <c r="P39" s="55"/>
    </row>
    <row r="40" spans="2:16" x14ac:dyDescent="0.15">
      <c r="B40" s="19" t="str">
        <f>IF(データ入力!E36="","",データ入力!E36)</f>
        <v/>
      </c>
      <c r="C40" s="19" t="str">
        <f>IF(データ入力!G36="","",データ入力!G36)</f>
        <v/>
      </c>
      <c r="D40" s="20" t="str">
        <f t="shared" si="2"/>
        <v/>
      </c>
      <c r="E40" s="20" t="str">
        <f t="shared" si="0"/>
        <v/>
      </c>
      <c r="F40" s="20" t="str">
        <f t="shared" si="1"/>
        <v/>
      </c>
      <c r="G40" s="21"/>
      <c r="H40" s="2">
        <f>MAX(B10:B109)</f>
        <v>49</v>
      </c>
      <c r="I40" s="3">
        <f>$K$5</f>
        <v>147.2914496850955</v>
      </c>
      <c r="P40" s="55"/>
    </row>
    <row r="41" spans="2:16" x14ac:dyDescent="0.15">
      <c r="B41" s="19" t="str">
        <f>IF(データ入力!E37="","",データ入力!E37)</f>
        <v/>
      </c>
      <c r="C41" s="19" t="str">
        <f>IF(データ入力!G37="","",データ入力!G37)</f>
        <v/>
      </c>
      <c r="D41" s="20" t="str">
        <f t="shared" si="2"/>
        <v/>
      </c>
      <c r="E41" s="20" t="str">
        <f t="shared" si="0"/>
        <v/>
      </c>
      <c r="F41" s="20" t="str">
        <f t="shared" si="1"/>
        <v/>
      </c>
      <c r="G41" s="21"/>
      <c r="P41" s="55"/>
    </row>
    <row r="42" spans="2:16" x14ac:dyDescent="0.15">
      <c r="B42" s="19" t="str">
        <f>IF(データ入力!E38="","",データ入力!E38)</f>
        <v/>
      </c>
      <c r="C42" s="19" t="str">
        <f>IF(データ入力!G38="","",データ入力!G38)</f>
        <v/>
      </c>
      <c r="D42" s="20" t="str">
        <f t="shared" si="2"/>
        <v/>
      </c>
      <c r="E42" s="20" t="str">
        <f t="shared" si="0"/>
        <v/>
      </c>
      <c r="F42" s="20" t="str">
        <f t="shared" si="1"/>
        <v/>
      </c>
      <c r="G42" s="21"/>
      <c r="P42" s="55"/>
    </row>
    <row r="43" spans="2:16" x14ac:dyDescent="0.15">
      <c r="B43" s="19" t="str">
        <f>IF(データ入力!E39="","",データ入力!E39)</f>
        <v/>
      </c>
      <c r="C43" s="19" t="str">
        <f>IF(データ入力!G39="","",データ入力!G39)</f>
        <v/>
      </c>
      <c r="D43" s="20" t="str">
        <f t="shared" si="2"/>
        <v/>
      </c>
      <c r="E43" s="20" t="str">
        <f t="shared" si="0"/>
        <v/>
      </c>
      <c r="F43" s="20" t="str">
        <f t="shared" si="1"/>
        <v/>
      </c>
      <c r="G43" s="21"/>
      <c r="P43" s="55"/>
    </row>
    <row r="44" spans="2:16" x14ac:dyDescent="0.15">
      <c r="B44" s="19" t="str">
        <f>IF(データ入力!E40="","",データ入力!E40)</f>
        <v/>
      </c>
      <c r="C44" s="19" t="str">
        <f>IF(データ入力!G40="","",データ入力!G40)</f>
        <v/>
      </c>
      <c r="D44" s="20" t="str">
        <f t="shared" si="2"/>
        <v/>
      </c>
      <c r="E44" s="20" t="str">
        <f t="shared" si="0"/>
        <v/>
      </c>
      <c r="F44" s="20" t="str">
        <f t="shared" si="1"/>
        <v/>
      </c>
      <c r="G44" s="21"/>
      <c r="P44" s="55"/>
    </row>
    <row r="45" spans="2:16" x14ac:dyDescent="0.15">
      <c r="B45" s="19" t="str">
        <f>IF(データ入力!E41="","",データ入力!E41)</f>
        <v/>
      </c>
      <c r="C45" s="19" t="str">
        <f>IF(データ入力!G41="","",データ入力!G41)</f>
        <v/>
      </c>
      <c r="D45" s="20" t="str">
        <f t="shared" si="2"/>
        <v/>
      </c>
      <c r="E45" s="20" t="str">
        <f t="shared" si="0"/>
        <v/>
      </c>
      <c r="F45" s="20" t="str">
        <f t="shared" si="1"/>
        <v/>
      </c>
      <c r="G45" s="21"/>
      <c r="P45" s="55"/>
    </row>
    <row r="46" spans="2:16" x14ac:dyDescent="0.15">
      <c r="B46" s="19" t="str">
        <f>IF(データ入力!E42="","",データ入力!E42)</f>
        <v/>
      </c>
      <c r="C46" s="19" t="str">
        <f>IF(データ入力!G42="","",データ入力!G42)</f>
        <v/>
      </c>
      <c r="D46" s="20" t="str">
        <f t="shared" si="2"/>
        <v/>
      </c>
      <c r="E46" s="20" t="str">
        <f t="shared" si="0"/>
        <v/>
      </c>
      <c r="F46" s="20" t="str">
        <f t="shared" si="1"/>
        <v/>
      </c>
      <c r="G46" s="21"/>
    </row>
    <row r="47" spans="2:16" x14ac:dyDescent="0.15">
      <c r="B47" s="19" t="str">
        <f>IF(データ入力!E43="","",データ入力!E43)</f>
        <v/>
      </c>
      <c r="C47" s="19" t="str">
        <f>IF(データ入力!G43="","",データ入力!G43)</f>
        <v/>
      </c>
      <c r="D47" s="20" t="str">
        <f t="shared" si="2"/>
        <v/>
      </c>
      <c r="E47" s="20" t="str">
        <f t="shared" si="0"/>
        <v/>
      </c>
      <c r="F47" s="20" t="str">
        <f t="shared" si="1"/>
        <v/>
      </c>
      <c r="G47" s="21"/>
    </row>
    <row r="48" spans="2:16" x14ac:dyDescent="0.15">
      <c r="B48" s="19" t="str">
        <f>IF(データ入力!E44="","",データ入力!E44)</f>
        <v/>
      </c>
      <c r="C48" s="19" t="str">
        <f>IF(データ入力!G44="","",データ入力!G44)</f>
        <v/>
      </c>
      <c r="D48" s="20" t="str">
        <f t="shared" si="2"/>
        <v/>
      </c>
      <c r="E48" s="20" t="str">
        <f t="shared" si="0"/>
        <v/>
      </c>
      <c r="F48" s="20" t="str">
        <f t="shared" si="1"/>
        <v/>
      </c>
      <c r="G48" s="21"/>
    </row>
    <row r="49" spans="2:7" x14ac:dyDescent="0.15">
      <c r="B49" s="19" t="str">
        <f>IF(データ入力!E45="","",データ入力!E45)</f>
        <v/>
      </c>
      <c r="C49" s="19" t="str">
        <f>IF(データ入力!G45="","",データ入力!G45)</f>
        <v/>
      </c>
      <c r="D49" s="20" t="str">
        <f t="shared" si="2"/>
        <v/>
      </c>
      <c r="E49" s="20" t="str">
        <f t="shared" si="0"/>
        <v/>
      </c>
      <c r="F49" s="20" t="str">
        <f t="shared" si="1"/>
        <v/>
      </c>
      <c r="G49" s="21"/>
    </row>
    <row r="50" spans="2:7" x14ac:dyDescent="0.15">
      <c r="B50" s="19" t="str">
        <f>IF(データ入力!E46="","",データ入力!E46)</f>
        <v/>
      </c>
      <c r="C50" s="19" t="str">
        <f>IF(データ入力!G46="","",データ入力!G46)</f>
        <v/>
      </c>
      <c r="D50" s="20" t="str">
        <f t="shared" si="2"/>
        <v/>
      </c>
      <c r="E50" s="20" t="str">
        <f t="shared" si="0"/>
        <v/>
      </c>
      <c r="F50" s="20" t="str">
        <f t="shared" si="1"/>
        <v/>
      </c>
      <c r="G50" s="21"/>
    </row>
    <row r="51" spans="2:7" x14ac:dyDescent="0.15">
      <c r="B51" s="19" t="str">
        <f>IF(データ入力!E47="","",データ入力!E47)</f>
        <v/>
      </c>
      <c r="C51" s="19" t="str">
        <f>IF(データ入力!G47="","",データ入力!G47)</f>
        <v/>
      </c>
      <c r="D51" s="20" t="str">
        <f t="shared" si="2"/>
        <v/>
      </c>
      <c r="E51" s="20" t="str">
        <f t="shared" si="0"/>
        <v/>
      </c>
      <c r="F51" s="20" t="str">
        <f t="shared" si="1"/>
        <v/>
      </c>
      <c r="G51" s="21"/>
    </row>
    <row r="52" spans="2:7" x14ac:dyDescent="0.15">
      <c r="B52" s="19" t="str">
        <f>IF(データ入力!E48="","",データ入力!E48)</f>
        <v/>
      </c>
      <c r="C52" s="19" t="str">
        <f>IF(データ入力!G48="","",データ入力!G48)</f>
        <v/>
      </c>
      <c r="D52" s="20" t="str">
        <f t="shared" si="2"/>
        <v/>
      </c>
      <c r="E52" s="20" t="str">
        <f t="shared" si="0"/>
        <v/>
      </c>
      <c r="F52" s="20" t="str">
        <f t="shared" si="1"/>
        <v/>
      </c>
      <c r="G52" s="21"/>
    </row>
    <row r="53" spans="2:7" x14ac:dyDescent="0.15">
      <c r="B53" s="19" t="str">
        <f>IF(データ入力!E49="","",データ入力!E49)</f>
        <v/>
      </c>
      <c r="C53" s="19" t="str">
        <f>IF(データ入力!G49="","",データ入力!G49)</f>
        <v/>
      </c>
      <c r="D53" s="20" t="str">
        <f t="shared" si="2"/>
        <v/>
      </c>
      <c r="E53" s="20" t="str">
        <f t="shared" si="0"/>
        <v/>
      </c>
      <c r="F53" s="20" t="str">
        <f t="shared" si="1"/>
        <v/>
      </c>
      <c r="G53" s="21"/>
    </row>
    <row r="54" spans="2:7" x14ac:dyDescent="0.15">
      <c r="B54" s="19" t="str">
        <f>IF(データ入力!E50="","",データ入力!E50)</f>
        <v/>
      </c>
      <c r="C54" s="19" t="str">
        <f>IF(データ入力!G50="","",データ入力!G50)</f>
        <v/>
      </c>
      <c r="D54" s="20" t="str">
        <f t="shared" si="2"/>
        <v/>
      </c>
      <c r="E54" s="20" t="str">
        <f t="shared" si="0"/>
        <v/>
      </c>
      <c r="F54" s="20" t="str">
        <f t="shared" si="1"/>
        <v/>
      </c>
      <c r="G54" s="21"/>
    </row>
    <row r="55" spans="2:7" x14ac:dyDescent="0.15">
      <c r="B55" s="19" t="str">
        <f>IF(データ入力!E51="","",データ入力!E51)</f>
        <v/>
      </c>
      <c r="C55" s="19" t="str">
        <f>IF(データ入力!G51="","",データ入力!G51)</f>
        <v/>
      </c>
      <c r="D55" s="20" t="str">
        <f t="shared" si="2"/>
        <v/>
      </c>
      <c r="E55" s="20" t="str">
        <f t="shared" si="0"/>
        <v/>
      </c>
      <c r="F55" s="20" t="str">
        <f t="shared" si="1"/>
        <v/>
      </c>
      <c r="G55" s="21"/>
    </row>
    <row r="56" spans="2:7" x14ac:dyDescent="0.15">
      <c r="B56" s="19" t="str">
        <f>IF(データ入力!E52="","",データ入力!E52)</f>
        <v/>
      </c>
      <c r="C56" s="19" t="str">
        <f>IF(データ入力!G52="","",データ入力!G52)</f>
        <v/>
      </c>
      <c r="D56" s="20" t="str">
        <f t="shared" si="2"/>
        <v/>
      </c>
      <c r="E56" s="20" t="str">
        <f t="shared" si="0"/>
        <v/>
      </c>
      <c r="F56" s="20" t="str">
        <f t="shared" si="1"/>
        <v/>
      </c>
      <c r="G56" s="21"/>
    </row>
    <row r="57" spans="2:7" x14ac:dyDescent="0.15">
      <c r="B57" s="19" t="str">
        <f>IF(データ入力!E53="","",データ入力!E53)</f>
        <v/>
      </c>
      <c r="C57" s="19" t="str">
        <f>IF(データ入力!G53="","",データ入力!G53)</f>
        <v/>
      </c>
      <c r="D57" s="20" t="str">
        <f t="shared" si="2"/>
        <v/>
      </c>
      <c r="E57" s="20" t="str">
        <f t="shared" si="0"/>
        <v/>
      </c>
      <c r="F57" s="20" t="str">
        <f t="shared" si="1"/>
        <v/>
      </c>
      <c r="G57" s="21"/>
    </row>
    <row r="58" spans="2:7" x14ac:dyDescent="0.15">
      <c r="B58" s="19" t="str">
        <f>IF(データ入力!E54="","",データ入力!E54)</f>
        <v/>
      </c>
      <c r="C58" s="19" t="str">
        <f>IF(データ入力!G54="","",データ入力!G54)</f>
        <v/>
      </c>
      <c r="D58" s="20" t="str">
        <f t="shared" si="2"/>
        <v/>
      </c>
      <c r="E58" s="20" t="str">
        <f t="shared" si="0"/>
        <v/>
      </c>
      <c r="F58" s="20" t="str">
        <f t="shared" si="1"/>
        <v/>
      </c>
      <c r="G58" s="21"/>
    </row>
    <row r="59" spans="2:7" x14ac:dyDescent="0.15">
      <c r="B59" s="19" t="str">
        <f>IF(データ入力!E55="","",データ入力!E55)</f>
        <v/>
      </c>
      <c r="C59" s="19" t="str">
        <f>IF(データ入力!G55="","",データ入力!G55)</f>
        <v/>
      </c>
      <c r="D59" s="20" t="str">
        <f t="shared" si="2"/>
        <v/>
      </c>
      <c r="E59" s="20" t="str">
        <f t="shared" si="0"/>
        <v/>
      </c>
      <c r="F59" s="20" t="str">
        <f t="shared" si="1"/>
        <v/>
      </c>
      <c r="G59" s="21"/>
    </row>
    <row r="60" spans="2:7" x14ac:dyDescent="0.15">
      <c r="B60" s="19" t="str">
        <f>IF(データ入力!E56="","",データ入力!E56)</f>
        <v/>
      </c>
      <c r="C60" s="19" t="str">
        <f>IF(データ入力!G56="","",データ入力!G56)</f>
        <v/>
      </c>
      <c r="D60" s="20" t="str">
        <f t="shared" si="2"/>
        <v/>
      </c>
      <c r="E60" s="20" t="str">
        <f t="shared" si="0"/>
        <v/>
      </c>
      <c r="F60" s="20" t="str">
        <f t="shared" si="1"/>
        <v/>
      </c>
      <c r="G60" s="21"/>
    </row>
    <row r="61" spans="2:7" x14ac:dyDescent="0.15">
      <c r="B61" s="19" t="str">
        <f>IF(データ入力!E57="","",データ入力!E57)</f>
        <v/>
      </c>
      <c r="C61" s="19" t="str">
        <f>IF(データ入力!G57="","",データ入力!G57)</f>
        <v/>
      </c>
      <c r="D61" s="20" t="str">
        <f t="shared" si="2"/>
        <v/>
      </c>
      <c r="E61" s="20" t="str">
        <f t="shared" si="0"/>
        <v/>
      </c>
      <c r="F61" s="20" t="str">
        <f t="shared" si="1"/>
        <v/>
      </c>
      <c r="G61" s="21"/>
    </row>
    <row r="62" spans="2:7" x14ac:dyDescent="0.15">
      <c r="B62" s="19" t="str">
        <f>IF(データ入力!E58="","",データ入力!E58)</f>
        <v/>
      </c>
      <c r="C62" s="19" t="str">
        <f>IF(データ入力!G58="","",データ入力!G58)</f>
        <v/>
      </c>
      <c r="D62" s="20" t="str">
        <f t="shared" si="2"/>
        <v/>
      </c>
      <c r="E62" s="20" t="str">
        <f t="shared" si="0"/>
        <v/>
      </c>
      <c r="F62" s="20" t="str">
        <f t="shared" si="1"/>
        <v/>
      </c>
      <c r="G62" s="21"/>
    </row>
    <row r="63" spans="2:7" x14ac:dyDescent="0.15">
      <c r="B63" s="19" t="str">
        <f>IF(データ入力!E59="","",データ入力!E59)</f>
        <v/>
      </c>
      <c r="C63" s="19" t="str">
        <f>IF(データ入力!G59="","",データ入力!G59)</f>
        <v/>
      </c>
      <c r="D63" s="20" t="str">
        <f t="shared" si="2"/>
        <v/>
      </c>
      <c r="E63" s="20" t="str">
        <f t="shared" si="0"/>
        <v/>
      </c>
      <c r="F63" s="20" t="str">
        <f t="shared" si="1"/>
        <v/>
      </c>
      <c r="G63" s="21"/>
    </row>
    <row r="64" spans="2:7" x14ac:dyDescent="0.15">
      <c r="B64" s="19" t="str">
        <f>IF(データ入力!E60="","",データ入力!E60)</f>
        <v/>
      </c>
      <c r="C64" s="19" t="str">
        <f>IF(データ入力!G60="","",データ入力!G60)</f>
        <v/>
      </c>
      <c r="D64" s="20" t="str">
        <f t="shared" si="2"/>
        <v/>
      </c>
      <c r="E64" s="20" t="str">
        <f t="shared" si="0"/>
        <v/>
      </c>
      <c r="F64" s="20" t="str">
        <f t="shared" si="1"/>
        <v/>
      </c>
      <c r="G64" s="21"/>
    </row>
    <row r="65" spans="2:7" x14ac:dyDescent="0.15">
      <c r="B65" s="19" t="str">
        <f>IF(データ入力!E61="","",データ入力!E61)</f>
        <v/>
      </c>
      <c r="C65" s="19" t="str">
        <f>IF(データ入力!G61="","",データ入力!G61)</f>
        <v/>
      </c>
      <c r="D65" s="20" t="str">
        <f t="shared" si="2"/>
        <v/>
      </c>
      <c r="E65" s="20" t="str">
        <f t="shared" si="0"/>
        <v/>
      </c>
      <c r="F65" s="20" t="str">
        <f t="shared" si="1"/>
        <v/>
      </c>
      <c r="G65" s="21"/>
    </row>
    <row r="66" spans="2:7" x14ac:dyDescent="0.15">
      <c r="B66" s="19" t="str">
        <f>IF(データ入力!E62="","",データ入力!E62)</f>
        <v/>
      </c>
      <c r="C66" s="19" t="str">
        <f>IF(データ入力!G62="","",データ入力!G62)</f>
        <v/>
      </c>
      <c r="D66" s="20" t="str">
        <f t="shared" si="2"/>
        <v/>
      </c>
      <c r="E66" s="20" t="str">
        <f t="shared" si="0"/>
        <v/>
      </c>
      <c r="F66" s="20" t="str">
        <f t="shared" si="1"/>
        <v/>
      </c>
      <c r="G66" s="21"/>
    </row>
    <row r="67" spans="2:7" x14ac:dyDescent="0.15">
      <c r="B67" s="19" t="str">
        <f>IF(データ入力!E63="","",データ入力!E63)</f>
        <v/>
      </c>
      <c r="C67" s="19" t="str">
        <f>IF(データ入力!G63="","",データ入力!G63)</f>
        <v/>
      </c>
      <c r="D67" s="20" t="str">
        <f t="shared" si="2"/>
        <v/>
      </c>
      <c r="E67" s="20" t="str">
        <f t="shared" si="0"/>
        <v/>
      </c>
      <c r="F67" s="20" t="str">
        <f t="shared" si="1"/>
        <v/>
      </c>
      <c r="G67" s="21"/>
    </row>
    <row r="68" spans="2:7" x14ac:dyDescent="0.15">
      <c r="B68" s="19" t="str">
        <f>IF(データ入力!E64="","",データ入力!E64)</f>
        <v/>
      </c>
      <c r="C68" s="19" t="str">
        <f>IF(データ入力!G64="","",データ入力!G64)</f>
        <v/>
      </c>
      <c r="D68" s="20" t="str">
        <f t="shared" si="2"/>
        <v/>
      </c>
      <c r="E68" s="20" t="str">
        <f t="shared" si="0"/>
        <v/>
      </c>
      <c r="F68" s="20" t="str">
        <f t="shared" si="1"/>
        <v/>
      </c>
      <c r="G68" s="21"/>
    </row>
    <row r="69" spans="2:7" x14ac:dyDescent="0.15">
      <c r="B69" s="19" t="str">
        <f>IF(データ入力!E65="","",データ入力!E65)</f>
        <v/>
      </c>
      <c r="C69" s="19" t="str">
        <f>IF(データ入力!G65="","",データ入力!G65)</f>
        <v/>
      </c>
      <c r="D69" s="20" t="str">
        <f t="shared" si="2"/>
        <v/>
      </c>
      <c r="E69" s="20" t="str">
        <f t="shared" si="0"/>
        <v/>
      </c>
      <c r="F69" s="20" t="str">
        <f t="shared" si="1"/>
        <v/>
      </c>
      <c r="G69" s="21"/>
    </row>
    <row r="70" spans="2:7" x14ac:dyDescent="0.15">
      <c r="B70" s="19" t="str">
        <f>IF(データ入力!E66="","",データ入力!E66)</f>
        <v/>
      </c>
      <c r="C70" s="19" t="str">
        <f>IF(データ入力!G66="","",データ入力!G66)</f>
        <v/>
      </c>
      <c r="D70" s="20" t="str">
        <f t="shared" si="2"/>
        <v/>
      </c>
      <c r="E70" s="20" t="str">
        <f t="shared" si="0"/>
        <v/>
      </c>
      <c r="F70" s="20" t="str">
        <f t="shared" si="1"/>
        <v/>
      </c>
      <c r="G70" s="21"/>
    </row>
    <row r="71" spans="2:7" x14ac:dyDescent="0.15">
      <c r="B71" s="19" t="str">
        <f>IF(データ入力!E67="","",データ入力!E67)</f>
        <v/>
      </c>
      <c r="C71" s="19" t="str">
        <f>IF(データ入力!G67="","",データ入力!G67)</f>
        <v/>
      </c>
      <c r="D71" s="20" t="str">
        <f t="shared" si="2"/>
        <v/>
      </c>
      <c r="E71" s="20" t="str">
        <f t="shared" si="0"/>
        <v/>
      </c>
      <c r="F71" s="20" t="str">
        <f t="shared" si="1"/>
        <v/>
      </c>
      <c r="G71" s="21"/>
    </row>
    <row r="72" spans="2:7" x14ac:dyDescent="0.15">
      <c r="B72" s="19" t="str">
        <f>IF(データ入力!E68="","",データ入力!E68)</f>
        <v/>
      </c>
      <c r="C72" s="19" t="str">
        <f>IF(データ入力!G68="","",データ入力!G68)</f>
        <v/>
      </c>
      <c r="D72" s="20" t="str">
        <f t="shared" si="2"/>
        <v/>
      </c>
      <c r="E72" s="20" t="str">
        <f t="shared" si="0"/>
        <v/>
      </c>
      <c r="F72" s="20" t="str">
        <f t="shared" si="1"/>
        <v/>
      </c>
      <c r="G72" s="21"/>
    </row>
    <row r="73" spans="2:7" x14ac:dyDescent="0.15">
      <c r="B73" s="19" t="str">
        <f>IF(データ入力!E69="","",データ入力!E69)</f>
        <v/>
      </c>
      <c r="C73" s="19" t="str">
        <f>IF(データ入力!G69="","",データ入力!G69)</f>
        <v/>
      </c>
      <c r="D73" s="20" t="str">
        <f t="shared" si="2"/>
        <v/>
      </c>
      <c r="E73" s="20" t="str">
        <f t="shared" si="0"/>
        <v/>
      </c>
      <c r="F73" s="20" t="str">
        <f t="shared" si="1"/>
        <v/>
      </c>
      <c r="G73" s="21"/>
    </row>
    <row r="74" spans="2:7" x14ac:dyDescent="0.15">
      <c r="B74" s="19" t="str">
        <f>IF(データ入力!E70="","",データ入力!E70)</f>
        <v/>
      </c>
      <c r="C74" s="19" t="str">
        <f>IF(データ入力!G70="","",データ入力!G70)</f>
        <v/>
      </c>
      <c r="D74" s="20" t="str">
        <f t="shared" si="2"/>
        <v/>
      </c>
      <c r="E74" s="20" t="str">
        <f t="shared" ref="E74:E109" si="3">IF(C74="","",C74-D74)</f>
        <v/>
      </c>
      <c r="F74" s="20" t="str">
        <f t="shared" ref="F74:F79" si="4">IF(E74="","",E74^2)</f>
        <v/>
      </c>
      <c r="G74" s="21"/>
    </row>
    <row r="75" spans="2:7" x14ac:dyDescent="0.15">
      <c r="B75" s="19" t="str">
        <f>IF(データ入力!E71="","",データ入力!E71)</f>
        <v/>
      </c>
      <c r="C75" s="19" t="str">
        <f>IF(データ入力!G71="","",データ入力!G71)</f>
        <v/>
      </c>
      <c r="D75" s="20" t="str">
        <f t="shared" ref="D75:D79" si="5">IF(B75="","",IF(B75=0,0,$C$4*(1-(1+$C$5*B75)*EXP(-$C$5*B75))))</f>
        <v/>
      </c>
      <c r="E75" s="20" t="str">
        <f t="shared" si="3"/>
        <v/>
      </c>
      <c r="F75" s="20" t="str">
        <f t="shared" si="4"/>
        <v/>
      </c>
      <c r="G75" s="21"/>
    </row>
    <row r="76" spans="2:7" x14ac:dyDescent="0.15">
      <c r="B76" s="19" t="str">
        <f>IF(データ入力!E72="","",データ入力!E72)</f>
        <v/>
      </c>
      <c r="C76" s="19" t="str">
        <f>IF(データ入力!G72="","",データ入力!G72)</f>
        <v/>
      </c>
      <c r="D76" s="20" t="str">
        <f t="shared" si="5"/>
        <v/>
      </c>
      <c r="E76" s="20" t="str">
        <f t="shared" si="3"/>
        <v/>
      </c>
      <c r="F76" s="20" t="str">
        <f t="shared" si="4"/>
        <v/>
      </c>
      <c r="G76" s="21"/>
    </row>
    <row r="77" spans="2:7" x14ac:dyDescent="0.15">
      <c r="B77" s="19" t="str">
        <f>IF(データ入力!E73="","",データ入力!E73)</f>
        <v/>
      </c>
      <c r="C77" s="19" t="str">
        <f>IF(データ入力!G73="","",データ入力!G73)</f>
        <v/>
      </c>
      <c r="D77" s="20" t="str">
        <f t="shared" si="5"/>
        <v/>
      </c>
      <c r="E77" s="20" t="str">
        <f t="shared" si="3"/>
        <v/>
      </c>
      <c r="F77" s="20" t="str">
        <f t="shared" si="4"/>
        <v/>
      </c>
      <c r="G77" s="21"/>
    </row>
    <row r="78" spans="2:7" x14ac:dyDescent="0.15">
      <c r="B78" s="19" t="str">
        <f>IF(データ入力!E74="","",データ入力!E74)</f>
        <v/>
      </c>
      <c r="C78" s="19" t="str">
        <f>IF(データ入力!G74="","",データ入力!G74)</f>
        <v/>
      </c>
      <c r="D78" s="20" t="str">
        <f t="shared" si="5"/>
        <v/>
      </c>
      <c r="E78" s="20" t="str">
        <f t="shared" si="3"/>
        <v/>
      </c>
      <c r="F78" s="20" t="str">
        <f t="shared" si="4"/>
        <v/>
      </c>
      <c r="G78" s="21"/>
    </row>
    <row r="79" spans="2:7" x14ac:dyDescent="0.15">
      <c r="B79" s="19" t="str">
        <f>IF(データ入力!E75="","",データ入力!E75)</f>
        <v/>
      </c>
      <c r="C79" s="19" t="str">
        <f>IF(データ入力!G75="","",データ入力!G75)</f>
        <v/>
      </c>
      <c r="D79" s="20" t="str">
        <f t="shared" si="5"/>
        <v/>
      </c>
      <c r="E79" s="20" t="str">
        <f t="shared" si="3"/>
        <v/>
      </c>
      <c r="F79" s="20" t="str">
        <f t="shared" si="4"/>
        <v/>
      </c>
      <c r="G79" s="21"/>
    </row>
    <row r="80" spans="2:7" x14ac:dyDescent="0.15">
      <c r="B80" s="19"/>
      <c r="C80" s="19"/>
      <c r="D80" s="20"/>
      <c r="E80" s="20"/>
      <c r="F80" s="20" t="str">
        <f>IF(E80="","",E80^2)</f>
        <v/>
      </c>
      <c r="G80" s="21"/>
    </row>
    <row r="81" spans="2:7" x14ac:dyDescent="0.15">
      <c r="B81" s="19"/>
      <c r="C81" s="19"/>
      <c r="D81" s="20"/>
      <c r="E81" s="20"/>
      <c r="F81" s="20" t="str">
        <f t="shared" ref="F81:F109" si="6">IF(E81="","",E81^2)</f>
        <v/>
      </c>
      <c r="G81" s="21"/>
    </row>
    <row r="82" spans="2:7" x14ac:dyDescent="0.15">
      <c r="B82" s="19"/>
      <c r="C82" s="19"/>
      <c r="D82" s="20"/>
      <c r="E82" s="20"/>
      <c r="F82" s="20" t="str">
        <f t="shared" si="6"/>
        <v/>
      </c>
      <c r="G82" s="21"/>
    </row>
    <row r="83" spans="2:7" x14ac:dyDescent="0.15">
      <c r="B83" s="19" t="str">
        <f>IF(データ入力!E79="","",データ入力!E79)</f>
        <v/>
      </c>
      <c r="C83" s="19" t="str">
        <f>IF(データ入力!G79="","",データ入力!G79)</f>
        <v/>
      </c>
      <c r="D83" s="20" t="str">
        <f t="shared" ref="D83:D109" si="7">IF(B83="","",$C$4*(1-(1+$C$5*B83)*EXP(-$C$5*B83)))</f>
        <v/>
      </c>
      <c r="E83" s="20" t="str">
        <f t="shared" si="3"/>
        <v/>
      </c>
      <c r="F83" s="20" t="str">
        <f t="shared" si="6"/>
        <v/>
      </c>
      <c r="G83" s="21"/>
    </row>
    <row r="84" spans="2:7" x14ac:dyDescent="0.15">
      <c r="B84" s="19" t="str">
        <f>IF(データ入力!E80="","",データ入力!E80)</f>
        <v/>
      </c>
      <c r="C84" s="19" t="str">
        <f>IF(データ入力!G80="","",データ入力!G80)</f>
        <v/>
      </c>
      <c r="D84" s="20" t="str">
        <f t="shared" si="7"/>
        <v/>
      </c>
      <c r="E84" s="20" t="str">
        <f t="shared" si="3"/>
        <v/>
      </c>
      <c r="F84" s="20" t="str">
        <f t="shared" si="6"/>
        <v/>
      </c>
      <c r="G84" s="21"/>
    </row>
    <row r="85" spans="2:7" x14ac:dyDescent="0.15">
      <c r="B85" s="19" t="str">
        <f>IF(データ入力!E81="","",データ入力!E81)</f>
        <v/>
      </c>
      <c r="C85" s="19" t="str">
        <f>IF(データ入力!G81="","",データ入力!G81)</f>
        <v/>
      </c>
      <c r="D85" s="20" t="str">
        <f t="shared" si="7"/>
        <v/>
      </c>
      <c r="E85" s="20" t="str">
        <f t="shared" si="3"/>
        <v/>
      </c>
      <c r="F85" s="20" t="str">
        <f t="shared" si="6"/>
        <v/>
      </c>
      <c r="G85" s="21"/>
    </row>
    <row r="86" spans="2:7" x14ac:dyDescent="0.15">
      <c r="B86" s="19" t="str">
        <f>IF(データ入力!E82="","",データ入力!E82)</f>
        <v/>
      </c>
      <c r="C86" s="19" t="str">
        <f>IF(データ入力!G82="","",データ入力!G82)</f>
        <v/>
      </c>
      <c r="D86" s="20" t="str">
        <f t="shared" si="7"/>
        <v/>
      </c>
      <c r="E86" s="20" t="str">
        <f t="shared" si="3"/>
        <v/>
      </c>
      <c r="F86" s="20" t="str">
        <f t="shared" si="6"/>
        <v/>
      </c>
      <c r="G86" s="21"/>
    </row>
    <row r="87" spans="2:7" x14ac:dyDescent="0.15">
      <c r="B87" s="19" t="str">
        <f>IF(データ入力!E83="","",データ入力!E83)</f>
        <v/>
      </c>
      <c r="C87" s="19" t="str">
        <f>IF(データ入力!G83="","",データ入力!G83)</f>
        <v/>
      </c>
      <c r="D87" s="20" t="str">
        <f t="shared" si="7"/>
        <v/>
      </c>
      <c r="E87" s="20" t="str">
        <f t="shared" si="3"/>
        <v/>
      </c>
      <c r="F87" s="20" t="str">
        <f t="shared" si="6"/>
        <v/>
      </c>
      <c r="G87" s="21"/>
    </row>
    <row r="88" spans="2:7" x14ac:dyDescent="0.15">
      <c r="B88" s="19" t="str">
        <f>IF(データ入力!E84="","",データ入力!E84)</f>
        <v/>
      </c>
      <c r="C88" s="19" t="str">
        <f>IF(データ入力!G84="","",データ入力!G84)</f>
        <v/>
      </c>
      <c r="D88" s="20" t="str">
        <f t="shared" si="7"/>
        <v/>
      </c>
      <c r="E88" s="20" t="str">
        <f t="shared" si="3"/>
        <v/>
      </c>
      <c r="F88" s="20" t="str">
        <f t="shared" si="6"/>
        <v/>
      </c>
      <c r="G88" s="21"/>
    </row>
    <row r="89" spans="2:7" x14ac:dyDescent="0.15">
      <c r="B89" s="19" t="str">
        <f>IF(データ入力!E85="","",データ入力!E85)</f>
        <v/>
      </c>
      <c r="C89" s="19" t="str">
        <f>IF(データ入力!G85="","",データ入力!G85)</f>
        <v/>
      </c>
      <c r="D89" s="20" t="str">
        <f t="shared" si="7"/>
        <v/>
      </c>
      <c r="E89" s="20" t="str">
        <f t="shared" si="3"/>
        <v/>
      </c>
      <c r="F89" s="20" t="str">
        <f t="shared" si="6"/>
        <v/>
      </c>
      <c r="G89" s="21"/>
    </row>
    <row r="90" spans="2:7" x14ac:dyDescent="0.15">
      <c r="B90" s="19" t="str">
        <f>IF(データ入力!E86="","",データ入力!E86)</f>
        <v/>
      </c>
      <c r="C90" s="19" t="str">
        <f>IF(データ入力!G86="","",データ入力!G86)</f>
        <v/>
      </c>
      <c r="D90" s="20" t="str">
        <f t="shared" si="7"/>
        <v/>
      </c>
      <c r="E90" s="20" t="str">
        <f t="shared" si="3"/>
        <v/>
      </c>
      <c r="F90" s="20" t="str">
        <f t="shared" si="6"/>
        <v/>
      </c>
      <c r="G90" s="21"/>
    </row>
    <row r="91" spans="2:7" x14ac:dyDescent="0.15">
      <c r="B91" s="19" t="str">
        <f>IF(データ入力!E87="","",データ入力!E87)</f>
        <v/>
      </c>
      <c r="C91" s="19" t="str">
        <f>IF(データ入力!G87="","",データ入力!G87)</f>
        <v/>
      </c>
      <c r="D91" s="20" t="str">
        <f t="shared" si="7"/>
        <v/>
      </c>
      <c r="E91" s="20" t="str">
        <f t="shared" si="3"/>
        <v/>
      </c>
      <c r="F91" s="20" t="str">
        <f t="shared" si="6"/>
        <v/>
      </c>
      <c r="G91" s="21"/>
    </row>
    <row r="92" spans="2:7" x14ac:dyDescent="0.15">
      <c r="B92" s="19" t="str">
        <f>IF(データ入力!E88="","",データ入力!E88)</f>
        <v/>
      </c>
      <c r="C92" s="19" t="str">
        <f>IF(データ入力!G88="","",データ入力!G88)</f>
        <v/>
      </c>
      <c r="D92" s="20" t="str">
        <f t="shared" si="7"/>
        <v/>
      </c>
      <c r="E92" s="20" t="str">
        <f t="shared" si="3"/>
        <v/>
      </c>
      <c r="F92" s="20" t="str">
        <f t="shared" si="6"/>
        <v/>
      </c>
      <c r="G92" s="21"/>
    </row>
    <row r="93" spans="2:7" x14ac:dyDescent="0.15">
      <c r="B93" s="19" t="str">
        <f>IF(データ入力!E89="","",データ入力!E89)</f>
        <v/>
      </c>
      <c r="C93" s="19" t="str">
        <f>IF(データ入力!G89="","",データ入力!G89)</f>
        <v/>
      </c>
      <c r="D93" s="20" t="str">
        <f t="shared" si="7"/>
        <v/>
      </c>
      <c r="E93" s="20" t="str">
        <f t="shared" si="3"/>
        <v/>
      </c>
      <c r="F93" s="20" t="str">
        <f t="shared" si="6"/>
        <v/>
      </c>
      <c r="G93" s="21"/>
    </row>
    <row r="94" spans="2:7" x14ac:dyDescent="0.15">
      <c r="B94" s="19" t="str">
        <f>IF(データ入力!E90="","",データ入力!E90)</f>
        <v/>
      </c>
      <c r="C94" s="19" t="str">
        <f>IF(データ入力!G90="","",データ入力!G90)</f>
        <v/>
      </c>
      <c r="D94" s="20" t="str">
        <f t="shared" si="7"/>
        <v/>
      </c>
      <c r="E94" s="20" t="str">
        <f t="shared" si="3"/>
        <v/>
      </c>
      <c r="F94" s="20" t="str">
        <f t="shared" si="6"/>
        <v/>
      </c>
      <c r="G94" s="21"/>
    </row>
    <row r="95" spans="2:7" x14ac:dyDescent="0.15">
      <c r="B95" s="19" t="str">
        <f>IF(データ入力!E91="","",データ入力!E91)</f>
        <v/>
      </c>
      <c r="C95" s="19" t="str">
        <f>IF(データ入力!G91="","",データ入力!G91)</f>
        <v/>
      </c>
      <c r="D95" s="20" t="str">
        <f t="shared" si="7"/>
        <v/>
      </c>
      <c r="E95" s="20" t="str">
        <f t="shared" si="3"/>
        <v/>
      </c>
      <c r="F95" s="20" t="str">
        <f t="shared" si="6"/>
        <v/>
      </c>
      <c r="G95" s="21"/>
    </row>
    <row r="96" spans="2:7" x14ac:dyDescent="0.15">
      <c r="B96" s="19" t="str">
        <f>IF(データ入力!E92="","",データ入力!E92)</f>
        <v/>
      </c>
      <c r="C96" s="19" t="str">
        <f>IF(データ入力!G92="","",データ入力!G92)</f>
        <v/>
      </c>
      <c r="D96" s="20" t="str">
        <f t="shared" si="7"/>
        <v/>
      </c>
      <c r="E96" s="20" t="str">
        <f t="shared" si="3"/>
        <v/>
      </c>
      <c r="F96" s="20" t="str">
        <f t="shared" si="6"/>
        <v/>
      </c>
      <c r="G96" s="21"/>
    </row>
    <row r="97" spans="2:7" x14ac:dyDescent="0.15">
      <c r="B97" s="19" t="str">
        <f>IF(データ入力!E93="","",データ入力!E93)</f>
        <v/>
      </c>
      <c r="C97" s="19" t="str">
        <f>IF(データ入力!G93="","",データ入力!G93)</f>
        <v/>
      </c>
      <c r="D97" s="20" t="str">
        <f t="shared" si="7"/>
        <v/>
      </c>
      <c r="E97" s="20" t="str">
        <f t="shared" si="3"/>
        <v/>
      </c>
      <c r="F97" s="20" t="str">
        <f t="shared" si="6"/>
        <v/>
      </c>
      <c r="G97" s="21"/>
    </row>
    <row r="98" spans="2:7" x14ac:dyDescent="0.15">
      <c r="B98" s="19" t="str">
        <f>IF(データ入力!E94="","",データ入力!E94)</f>
        <v/>
      </c>
      <c r="C98" s="19" t="str">
        <f>IF(データ入力!G94="","",データ入力!G94)</f>
        <v/>
      </c>
      <c r="D98" s="20" t="str">
        <f t="shared" si="7"/>
        <v/>
      </c>
      <c r="E98" s="20" t="str">
        <f t="shared" si="3"/>
        <v/>
      </c>
      <c r="F98" s="20" t="str">
        <f t="shared" si="6"/>
        <v/>
      </c>
      <c r="G98" s="21"/>
    </row>
    <row r="99" spans="2:7" x14ac:dyDescent="0.15">
      <c r="B99" s="19" t="str">
        <f>IF(データ入力!E95="","",データ入力!E95)</f>
        <v/>
      </c>
      <c r="C99" s="19" t="str">
        <f>IF(データ入力!G95="","",データ入力!G95)</f>
        <v/>
      </c>
      <c r="D99" s="20" t="str">
        <f t="shared" si="7"/>
        <v/>
      </c>
      <c r="E99" s="20" t="str">
        <f t="shared" si="3"/>
        <v/>
      </c>
      <c r="F99" s="20" t="str">
        <f t="shared" si="6"/>
        <v/>
      </c>
      <c r="G99" s="21"/>
    </row>
    <row r="100" spans="2:7" x14ac:dyDescent="0.15">
      <c r="B100" s="19" t="str">
        <f>IF(データ入力!E96="","",データ入力!E96)</f>
        <v/>
      </c>
      <c r="C100" s="19" t="str">
        <f>IF(データ入力!G96="","",データ入力!G96)</f>
        <v/>
      </c>
      <c r="D100" s="20" t="str">
        <f t="shared" si="7"/>
        <v/>
      </c>
      <c r="E100" s="20" t="str">
        <f t="shared" si="3"/>
        <v/>
      </c>
      <c r="F100" s="20" t="str">
        <f t="shared" si="6"/>
        <v/>
      </c>
      <c r="G100" s="21"/>
    </row>
    <row r="101" spans="2:7" x14ac:dyDescent="0.15">
      <c r="B101" s="19" t="str">
        <f>IF(データ入力!E97="","",データ入力!E97)</f>
        <v/>
      </c>
      <c r="C101" s="19" t="str">
        <f>IF(データ入力!G97="","",データ入力!G97)</f>
        <v/>
      </c>
      <c r="D101" s="20" t="str">
        <f t="shared" si="7"/>
        <v/>
      </c>
      <c r="E101" s="20" t="str">
        <f t="shared" si="3"/>
        <v/>
      </c>
      <c r="F101" s="20" t="str">
        <f t="shared" si="6"/>
        <v/>
      </c>
      <c r="G101" s="21"/>
    </row>
    <row r="102" spans="2:7" x14ac:dyDescent="0.15">
      <c r="B102" s="19" t="str">
        <f>IF(データ入力!E98="","",データ入力!E98)</f>
        <v/>
      </c>
      <c r="C102" s="19" t="str">
        <f>IF(データ入力!G98="","",データ入力!G98)</f>
        <v/>
      </c>
      <c r="D102" s="20" t="str">
        <f t="shared" si="7"/>
        <v/>
      </c>
      <c r="E102" s="20" t="str">
        <f t="shared" si="3"/>
        <v/>
      </c>
      <c r="F102" s="20" t="str">
        <f t="shared" si="6"/>
        <v/>
      </c>
      <c r="G102" s="21"/>
    </row>
    <row r="103" spans="2:7" x14ac:dyDescent="0.15">
      <c r="B103" s="19" t="str">
        <f>IF(データ入力!E99="","",データ入力!E99)</f>
        <v/>
      </c>
      <c r="C103" s="19" t="str">
        <f>IF(データ入力!G99="","",データ入力!G99)</f>
        <v/>
      </c>
      <c r="D103" s="20" t="str">
        <f t="shared" si="7"/>
        <v/>
      </c>
      <c r="E103" s="20" t="str">
        <f t="shared" si="3"/>
        <v/>
      </c>
      <c r="F103" s="20" t="str">
        <f t="shared" si="6"/>
        <v/>
      </c>
      <c r="G103" s="21"/>
    </row>
    <row r="104" spans="2:7" x14ac:dyDescent="0.15">
      <c r="B104" s="19" t="str">
        <f>IF(データ入力!E100="","",データ入力!E100)</f>
        <v/>
      </c>
      <c r="C104" s="19" t="str">
        <f>IF(データ入力!G100="","",データ入力!G100)</f>
        <v/>
      </c>
      <c r="D104" s="20" t="str">
        <f t="shared" si="7"/>
        <v/>
      </c>
      <c r="E104" s="20" t="str">
        <f t="shared" si="3"/>
        <v/>
      </c>
      <c r="F104" s="20" t="str">
        <f t="shared" si="6"/>
        <v/>
      </c>
      <c r="G104" s="21"/>
    </row>
    <row r="105" spans="2:7" x14ac:dyDescent="0.15">
      <c r="B105" s="19" t="str">
        <f>IF(データ入力!E101="","",データ入力!E101)</f>
        <v/>
      </c>
      <c r="C105" s="19" t="str">
        <f>IF(データ入力!G101="","",データ入力!G101)</f>
        <v/>
      </c>
      <c r="D105" s="20" t="str">
        <f t="shared" si="7"/>
        <v/>
      </c>
      <c r="E105" s="20" t="str">
        <f t="shared" si="3"/>
        <v/>
      </c>
      <c r="F105" s="20" t="str">
        <f t="shared" si="6"/>
        <v/>
      </c>
      <c r="G105" s="21"/>
    </row>
    <row r="106" spans="2:7" x14ac:dyDescent="0.15">
      <c r="B106" s="19" t="str">
        <f>IF(データ入力!E102="","",データ入力!E102)</f>
        <v/>
      </c>
      <c r="C106" s="19" t="str">
        <f>IF(データ入力!G102="","",データ入力!G102)</f>
        <v/>
      </c>
      <c r="D106" s="20" t="str">
        <f t="shared" si="7"/>
        <v/>
      </c>
      <c r="E106" s="20" t="str">
        <f t="shared" si="3"/>
        <v/>
      </c>
      <c r="F106" s="20" t="str">
        <f t="shared" si="6"/>
        <v/>
      </c>
      <c r="G106" s="21"/>
    </row>
    <row r="107" spans="2:7" x14ac:dyDescent="0.15">
      <c r="B107" s="19" t="str">
        <f>IF(データ入力!E103="","",データ入力!E103)</f>
        <v/>
      </c>
      <c r="C107" s="19" t="str">
        <f>IF(データ入力!G103="","",データ入力!G103)</f>
        <v/>
      </c>
      <c r="D107" s="20" t="str">
        <f t="shared" si="7"/>
        <v/>
      </c>
      <c r="E107" s="20" t="str">
        <f t="shared" si="3"/>
        <v/>
      </c>
      <c r="F107" s="20" t="str">
        <f t="shared" si="6"/>
        <v/>
      </c>
      <c r="G107" s="21"/>
    </row>
    <row r="108" spans="2:7" x14ac:dyDescent="0.15">
      <c r="B108" s="19" t="str">
        <f>IF(データ入力!E104="","",データ入力!E104)</f>
        <v/>
      </c>
      <c r="C108" s="19" t="str">
        <f>IF(データ入力!G104="","",データ入力!G104)</f>
        <v/>
      </c>
      <c r="D108" s="20" t="str">
        <f t="shared" si="7"/>
        <v/>
      </c>
      <c r="E108" s="20" t="str">
        <f t="shared" si="3"/>
        <v/>
      </c>
      <c r="F108" s="20" t="str">
        <f t="shared" si="6"/>
        <v/>
      </c>
      <c r="G108" s="21"/>
    </row>
    <row r="109" spans="2:7" x14ac:dyDescent="0.15">
      <c r="B109" s="19" t="str">
        <f>IF(データ入力!E105="","",データ入力!E105)</f>
        <v/>
      </c>
      <c r="C109" s="19" t="str">
        <f>IF(データ入力!G105="","",データ入力!G105)</f>
        <v/>
      </c>
      <c r="D109" s="20" t="str">
        <f t="shared" si="7"/>
        <v/>
      </c>
      <c r="E109" s="20" t="str">
        <f t="shared" si="3"/>
        <v/>
      </c>
      <c r="F109" s="20" t="str">
        <f t="shared" si="6"/>
        <v/>
      </c>
      <c r="G109" s="21"/>
    </row>
  </sheetData>
  <scenarios current="0">
    <scenario name="srgm_test" count="3" user="Tomi" comment="作成者 : Tomi 日付 : 8/19/2010">
      <inputCells r="C4" val="85.2303964347601"/>
      <inputCells r="C5" val="12.4553706530314"/>
      <inputCells r="C6" val="0.986959959300145"/>
    </scenario>
  </scenarios>
  <mergeCells count="2">
    <mergeCell ref="E4:F4"/>
    <mergeCell ref="E5:F5"/>
  </mergeCells>
  <phoneticPr fontId="2"/>
  <pageMargins left="0.75" right="0.75" top="1" bottom="1"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8194" r:id="rId4" name="CommandButton1">
          <controlPr defaultSize="0" autoLine="0" r:id="rId5">
            <anchor moveWithCells="1">
              <from>
                <xdr:col>6</xdr:col>
                <xdr:colOff>114300</xdr:colOff>
                <xdr:row>5</xdr:row>
                <xdr:rowOff>57150</xdr:rowOff>
              </from>
              <to>
                <xdr:col>6</xdr:col>
                <xdr:colOff>885825</xdr:colOff>
                <xdr:row>6</xdr:row>
                <xdr:rowOff>142875</xdr:rowOff>
              </to>
            </anchor>
          </controlPr>
        </control>
      </mc:Choice>
      <mc:Fallback>
        <control shapeId="8194" r:id="rId4"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6AFB1-B4D4-4537-AE30-F4F64A0FAB30}">
  <sheetPr codeName="Sheet11"/>
  <dimension ref="B1:Q109"/>
  <sheetViews>
    <sheetView zoomScaleNormal="100" workbookViewId="0"/>
  </sheetViews>
  <sheetFormatPr defaultRowHeight="13.5" x14ac:dyDescent="0.15"/>
  <cols>
    <col min="1" max="1" width="2.625" style="1" customWidth="1"/>
    <col min="2" max="7" width="13.25" style="1" customWidth="1"/>
    <col min="8" max="9" width="9.5" style="1" customWidth="1"/>
    <col min="10" max="10" width="3.375" style="1" customWidth="1"/>
    <col min="11" max="12" width="9.5" style="1" customWidth="1"/>
    <col min="13" max="16384" width="9" style="1"/>
  </cols>
  <sheetData>
    <row r="1" spans="2:17" x14ac:dyDescent="0.15">
      <c r="E1" s="1" t="s">
        <v>38</v>
      </c>
    </row>
    <row r="2" spans="2:17" x14ac:dyDescent="0.15">
      <c r="B2" s="1" t="s">
        <v>0</v>
      </c>
      <c r="C2" s="1" t="s">
        <v>83</v>
      </c>
      <c r="E2" s="2" t="s">
        <v>29</v>
      </c>
      <c r="F2" s="3">
        <f>MAX(D10:D109)/C4*100</f>
        <v>100</v>
      </c>
      <c r="Q2"/>
    </row>
    <row r="3" spans="2:17" x14ac:dyDescent="0.15">
      <c r="B3" s="1" t="s">
        <v>61</v>
      </c>
      <c r="C3" s="1">
        <v>3</v>
      </c>
      <c r="E3" s="4" t="s">
        <v>39</v>
      </c>
      <c r="F3" s="3">
        <f>C4-MAX(D10:D109)</f>
        <v>0</v>
      </c>
      <c r="H3" s="1" t="s">
        <v>7</v>
      </c>
      <c r="J3" s="5"/>
      <c r="K3" s="1" t="s">
        <v>8</v>
      </c>
      <c r="N3" s="5" t="s">
        <v>64</v>
      </c>
      <c r="O3" s="5"/>
    </row>
    <row r="4" spans="2:17" ht="14.25" thickBot="1" x14ac:dyDescent="0.2">
      <c r="B4" s="6" t="s">
        <v>11</v>
      </c>
      <c r="C4" s="24">
        <v>115.57142832973709</v>
      </c>
      <c r="E4" s="61" t="s">
        <v>6</v>
      </c>
      <c r="F4" s="62"/>
      <c r="H4" s="7">
        <v>0.95</v>
      </c>
      <c r="I4" s="8" t="s">
        <v>9</v>
      </c>
      <c r="J4" s="5"/>
      <c r="K4" s="9">
        <v>0.99</v>
      </c>
      <c r="L4" s="10" t="s">
        <v>9</v>
      </c>
      <c r="N4" s="15" t="s">
        <v>25</v>
      </c>
      <c r="O4" s="31">
        <f>C7*LN((2*3.14*E5/C7)+1)+2*(C3+1)</f>
        <v>77.586352980779054</v>
      </c>
    </row>
    <row r="5" spans="2:17" x14ac:dyDescent="0.15">
      <c r="B5" s="6" t="s">
        <v>12</v>
      </c>
      <c r="C5" s="24">
        <v>45.645650594130572</v>
      </c>
      <c r="E5" s="63">
        <f>SUM(F10:F109)</f>
        <v>7632.7142857142862</v>
      </c>
      <c r="F5" s="64"/>
      <c r="H5" s="23">
        <f>C4*0.95</f>
        <v>109.79285691325023</v>
      </c>
      <c r="I5" s="22">
        <v>6.5630174503894523E-2</v>
      </c>
      <c r="J5" s="5"/>
      <c r="K5" s="22">
        <f>C4*0.99</f>
        <v>114.41571404643972</v>
      </c>
      <c r="L5" s="22">
        <v>0.10088951967190951</v>
      </c>
    </row>
    <row r="6" spans="2:17" x14ac:dyDescent="0.15">
      <c r="B6" s="6" t="s">
        <v>13</v>
      </c>
      <c r="C6" s="24">
        <v>0</v>
      </c>
      <c r="E6" s="1" t="s">
        <v>10</v>
      </c>
      <c r="J6" s="5"/>
    </row>
    <row r="7" spans="2:17" x14ac:dyDescent="0.15">
      <c r="B7" s="14" t="s">
        <v>30</v>
      </c>
      <c r="C7" s="29">
        <f>COUNT(C10:C109)</f>
        <v>8</v>
      </c>
    </row>
    <row r="8" spans="2:17" x14ac:dyDescent="0.15">
      <c r="B8" s="15" t="s">
        <v>1</v>
      </c>
    </row>
    <row r="9" spans="2:17" ht="27.75" thickBot="1" x14ac:dyDescent="0.2">
      <c r="B9" s="16" t="s">
        <v>45</v>
      </c>
      <c r="C9" s="17" t="s">
        <v>3</v>
      </c>
      <c r="D9" s="17" t="s">
        <v>34</v>
      </c>
      <c r="E9" s="17" t="s">
        <v>4</v>
      </c>
      <c r="F9" s="17" t="s">
        <v>5</v>
      </c>
      <c r="G9" s="18"/>
    </row>
    <row r="10" spans="2:17" x14ac:dyDescent="0.15">
      <c r="B10" s="19">
        <f>IF(データ入力!E6="","",データ入力!E6)</f>
        <v>0</v>
      </c>
      <c r="C10" s="19">
        <f>IF(データ入力!G6="","",データ入力!G6)</f>
        <v>1</v>
      </c>
      <c r="D10" s="20">
        <f>IF(B10="","",IF(B10=0,0,$C$4*(1-EXP(-$C$5*B10))/(1+$C$6*$C$5*EXP(-$C$5*B10))))</f>
        <v>0</v>
      </c>
      <c r="E10" s="20">
        <f>IF(B10="","",C10-D10)</f>
        <v>1</v>
      </c>
      <c r="F10" s="20">
        <f>IF(B10="","",E10^2)</f>
        <v>1</v>
      </c>
      <c r="G10" s="21"/>
    </row>
    <row r="11" spans="2:17" x14ac:dyDescent="0.15">
      <c r="B11" s="19">
        <f>IF(データ入力!E7="","",データ入力!E7)</f>
        <v>7</v>
      </c>
      <c r="C11" s="19">
        <f>IF(データ入力!G7="","",データ入力!G7)</f>
        <v>67</v>
      </c>
      <c r="D11" s="20">
        <f t="shared" ref="D11:D74" si="0">IF(B11="","",IF(B11=0,0,$C$4*(1-EXP(-$C$5*B11))/(1+$C$6*$C$5*EXP(-$C$5*B11))))</f>
        <v>115.57142832973709</v>
      </c>
      <c r="E11" s="20">
        <f t="shared" ref="E11:E74" si="1">IF(B11="","",C11-D11)</f>
        <v>-48.571428329737088</v>
      </c>
      <c r="F11" s="20">
        <f t="shared" ref="F11:F74" si="2">IF(B11="","",E11^2)</f>
        <v>2359.1836499907868</v>
      </c>
      <c r="G11" s="21"/>
    </row>
    <row r="12" spans="2:17" x14ac:dyDescent="0.15">
      <c r="B12" s="19">
        <f>IF(データ入力!E8="","",データ入力!E8)</f>
        <v>14</v>
      </c>
      <c r="C12" s="19">
        <f>IF(データ入力!G8="","",データ入力!G8)</f>
        <v>81</v>
      </c>
      <c r="D12" s="20">
        <f t="shared" si="0"/>
        <v>115.57142832973709</v>
      </c>
      <c r="E12" s="20">
        <f t="shared" si="1"/>
        <v>-34.571428329737088</v>
      </c>
      <c r="F12" s="20">
        <f t="shared" si="2"/>
        <v>1195.1836567581481</v>
      </c>
      <c r="G12" s="21"/>
    </row>
    <row r="13" spans="2:17" x14ac:dyDescent="0.15">
      <c r="B13" s="19">
        <f>IF(データ入力!E9="","",データ入力!E9)</f>
        <v>21</v>
      </c>
      <c r="C13" s="19">
        <f>IF(データ入力!G9="","",データ入力!G9)</f>
        <v>99</v>
      </c>
      <c r="D13" s="20">
        <f t="shared" si="0"/>
        <v>115.57142832973709</v>
      </c>
      <c r="E13" s="20">
        <f t="shared" si="1"/>
        <v>-16.571428329737088</v>
      </c>
      <c r="F13" s="20">
        <f t="shared" si="2"/>
        <v>274.61223688761294</v>
      </c>
      <c r="G13" s="21"/>
    </row>
    <row r="14" spans="2:17" x14ac:dyDescent="0.15">
      <c r="B14" s="19">
        <f>IF(データ入力!E10="","",データ入力!E10)</f>
        <v>28</v>
      </c>
      <c r="C14" s="19">
        <f>IF(データ入力!G10="","",データ入力!G10)</f>
        <v>117</v>
      </c>
      <c r="D14" s="20">
        <f t="shared" si="0"/>
        <v>115.57142832973709</v>
      </c>
      <c r="E14" s="20">
        <f t="shared" si="1"/>
        <v>1.4285716702629117</v>
      </c>
      <c r="F14" s="20">
        <f t="shared" si="2"/>
        <v>2.0408170170777651</v>
      </c>
      <c r="G14" s="21"/>
    </row>
    <row r="15" spans="2:17" x14ac:dyDescent="0.15">
      <c r="B15" s="19">
        <f>IF(データ入力!E11="","",データ入力!E11)</f>
        <v>35</v>
      </c>
      <c r="C15" s="19">
        <f>IF(データ入力!G11="","",データ入力!G11)</f>
        <v>132</v>
      </c>
      <c r="D15" s="20">
        <f t="shared" si="0"/>
        <v>115.57142832973709</v>
      </c>
      <c r="E15" s="20">
        <f t="shared" si="1"/>
        <v>16.428571670262912</v>
      </c>
      <c r="F15" s="20">
        <f t="shared" si="2"/>
        <v>269.89796712496513</v>
      </c>
      <c r="G15" s="21"/>
    </row>
    <row r="16" spans="2:17" x14ac:dyDescent="0.15">
      <c r="B16" s="19">
        <f>IF(データ入力!E12="","",データ入力!E12)</f>
        <v>42</v>
      </c>
      <c r="C16" s="19">
        <f>IF(データ入力!G12="","",データ入力!G12)</f>
        <v>147</v>
      </c>
      <c r="D16" s="20">
        <f t="shared" si="0"/>
        <v>115.57142832973709</v>
      </c>
      <c r="E16" s="20">
        <f t="shared" si="1"/>
        <v>31.428571670262912</v>
      </c>
      <c r="F16" s="20">
        <f t="shared" si="2"/>
        <v>987.75511723285251</v>
      </c>
      <c r="G16" s="21"/>
    </row>
    <row r="17" spans="2:7" x14ac:dyDescent="0.15">
      <c r="B17" s="19">
        <f>IF(データ入力!E13="","",データ入力!E13)</f>
        <v>49</v>
      </c>
      <c r="C17" s="19">
        <f>IF(データ入力!G13="","",データ入力!G13)</f>
        <v>166</v>
      </c>
      <c r="D17" s="20">
        <f t="shared" si="0"/>
        <v>115.57142832973709</v>
      </c>
      <c r="E17" s="20">
        <f t="shared" si="1"/>
        <v>50.428571670262912</v>
      </c>
      <c r="F17" s="20">
        <f t="shared" si="2"/>
        <v>2543.0408407028431</v>
      </c>
      <c r="G17" s="21"/>
    </row>
    <row r="18" spans="2:7" x14ac:dyDescent="0.15">
      <c r="B18" s="19" t="str">
        <f>IF(データ入力!E14="","",データ入力!E14)</f>
        <v/>
      </c>
      <c r="C18" s="19" t="str">
        <f>IF(データ入力!G14="","",データ入力!G14)</f>
        <v/>
      </c>
      <c r="D18" s="20" t="str">
        <f t="shared" si="0"/>
        <v/>
      </c>
      <c r="E18" s="20" t="str">
        <f t="shared" si="1"/>
        <v/>
      </c>
      <c r="F18" s="20" t="str">
        <f t="shared" si="2"/>
        <v/>
      </c>
      <c r="G18" s="21"/>
    </row>
    <row r="19" spans="2:7" x14ac:dyDescent="0.15">
      <c r="B19" s="19" t="str">
        <f>IF(データ入力!E15="","",データ入力!E15)</f>
        <v/>
      </c>
      <c r="C19" s="19" t="str">
        <f>IF(データ入力!G15="","",データ入力!G15)</f>
        <v/>
      </c>
      <c r="D19" s="20" t="str">
        <f t="shared" si="0"/>
        <v/>
      </c>
      <c r="E19" s="20" t="str">
        <f t="shared" si="1"/>
        <v/>
      </c>
      <c r="F19" s="20" t="str">
        <f t="shared" si="2"/>
        <v/>
      </c>
      <c r="G19" s="21"/>
    </row>
    <row r="20" spans="2:7" x14ac:dyDescent="0.15">
      <c r="B20" s="19" t="str">
        <f>IF(データ入力!E16="","",データ入力!E16)</f>
        <v/>
      </c>
      <c r="C20" s="19" t="str">
        <f>IF(データ入力!G16="","",データ入力!G16)</f>
        <v/>
      </c>
      <c r="D20" s="20" t="str">
        <f t="shared" si="0"/>
        <v/>
      </c>
      <c r="E20" s="20" t="str">
        <f t="shared" si="1"/>
        <v/>
      </c>
      <c r="F20" s="20" t="str">
        <f t="shared" si="2"/>
        <v/>
      </c>
      <c r="G20" s="21"/>
    </row>
    <row r="21" spans="2:7" x14ac:dyDescent="0.15">
      <c r="B21" s="19" t="str">
        <f>IF(データ入力!E17="","",データ入力!E17)</f>
        <v/>
      </c>
      <c r="C21" s="19" t="str">
        <f>IF(データ入力!G17="","",データ入力!G17)</f>
        <v/>
      </c>
      <c r="D21" s="20" t="str">
        <f t="shared" si="0"/>
        <v/>
      </c>
      <c r="E21" s="20" t="str">
        <f t="shared" si="1"/>
        <v/>
      </c>
      <c r="F21" s="20" t="str">
        <f t="shared" si="2"/>
        <v/>
      </c>
      <c r="G21" s="21"/>
    </row>
    <row r="22" spans="2:7" x14ac:dyDescent="0.15">
      <c r="B22" s="19" t="str">
        <f>IF(データ入力!E18="","",データ入力!E18)</f>
        <v/>
      </c>
      <c r="C22" s="19" t="str">
        <f>IF(データ入力!G18="","",データ入力!G18)</f>
        <v/>
      </c>
      <c r="D22" s="20" t="str">
        <f t="shared" si="0"/>
        <v/>
      </c>
      <c r="E22" s="20" t="str">
        <f t="shared" si="1"/>
        <v/>
      </c>
      <c r="F22" s="20" t="str">
        <f t="shared" si="2"/>
        <v/>
      </c>
      <c r="G22" s="21"/>
    </row>
    <row r="23" spans="2:7" x14ac:dyDescent="0.15">
      <c r="B23" s="19" t="str">
        <f>IF(データ入力!E19="","",データ入力!E19)</f>
        <v/>
      </c>
      <c r="C23" s="19" t="str">
        <f>IF(データ入力!G19="","",データ入力!G19)</f>
        <v/>
      </c>
      <c r="D23" s="20" t="str">
        <f t="shared" si="0"/>
        <v/>
      </c>
      <c r="E23" s="20" t="str">
        <f t="shared" si="1"/>
        <v/>
      </c>
      <c r="F23" s="20" t="str">
        <f t="shared" si="2"/>
        <v/>
      </c>
      <c r="G23" s="21"/>
    </row>
    <row r="24" spans="2:7" x14ac:dyDescent="0.15">
      <c r="B24" s="19" t="str">
        <f>IF(データ入力!E20="","",データ入力!E20)</f>
        <v/>
      </c>
      <c r="C24" s="19" t="str">
        <f>IF(データ入力!G20="","",データ入力!G20)</f>
        <v/>
      </c>
      <c r="D24" s="20" t="str">
        <f t="shared" si="0"/>
        <v/>
      </c>
      <c r="E24" s="20" t="str">
        <f t="shared" si="1"/>
        <v/>
      </c>
      <c r="F24" s="20" t="str">
        <f t="shared" si="2"/>
        <v/>
      </c>
      <c r="G24" s="21"/>
    </row>
    <row r="25" spans="2:7" x14ac:dyDescent="0.15">
      <c r="B25" s="19" t="str">
        <f>IF(データ入力!E21="","",データ入力!E21)</f>
        <v/>
      </c>
      <c r="C25" s="19" t="str">
        <f>IF(データ入力!G21="","",データ入力!G21)</f>
        <v/>
      </c>
      <c r="D25" s="20" t="str">
        <f t="shared" si="0"/>
        <v/>
      </c>
      <c r="E25" s="20" t="str">
        <f t="shared" si="1"/>
        <v/>
      </c>
      <c r="F25" s="20" t="str">
        <f t="shared" si="2"/>
        <v/>
      </c>
      <c r="G25" s="21"/>
    </row>
    <row r="26" spans="2:7" x14ac:dyDescent="0.15">
      <c r="B26" s="19" t="str">
        <f>IF(データ入力!E22="","",データ入力!E22)</f>
        <v/>
      </c>
      <c r="C26" s="19" t="str">
        <f>IF(データ入力!G22="","",データ入力!G22)</f>
        <v/>
      </c>
      <c r="D26" s="20" t="str">
        <f t="shared" si="0"/>
        <v/>
      </c>
      <c r="E26" s="20" t="str">
        <f t="shared" si="1"/>
        <v/>
      </c>
      <c r="F26" s="20" t="str">
        <f t="shared" si="2"/>
        <v/>
      </c>
      <c r="G26" s="21"/>
    </row>
    <row r="27" spans="2:7" x14ac:dyDescent="0.15">
      <c r="B27" s="19" t="str">
        <f>IF(データ入力!E23="","",データ入力!E23)</f>
        <v/>
      </c>
      <c r="C27" s="19" t="str">
        <f>IF(データ入力!G23="","",データ入力!G23)</f>
        <v/>
      </c>
      <c r="D27" s="20" t="str">
        <f t="shared" si="0"/>
        <v/>
      </c>
      <c r="E27" s="20" t="str">
        <f t="shared" si="1"/>
        <v/>
      </c>
      <c r="F27" s="20" t="str">
        <f t="shared" si="2"/>
        <v/>
      </c>
      <c r="G27" s="21"/>
    </row>
    <row r="28" spans="2:7" x14ac:dyDescent="0.15">
      <c r="B28" s="19" t="str">
        <f>IF(データ入力!E24="","",データ入力!E24)</f>
        <v/>
      </c>
      <c r="C28" s="19" t="str">
        <f>IF(データ入力!G24="","",データ入力!G24)</f>
        <v/>
      </c>
      <c r="D28" s="20" t="str">
        <f t="shared" si="0"/>
        <v/>
      </c>
      <c r="E28" s="20" t="str">
        <f t="shared" si="1"/>
        <v/>
      </c>
      <c r="F28" s="20" t="str">
        <f t="shared" si="2"/>
        <v/>
      </c>
      <c r="G28" s="21"/>
    </row>
    <row r="29" spans="2:7" x14ac:dyDescent="0.15">
      <c r="B29" s="19" t="str">
        <f>IF(データ入力!E25="","",データ入力!E25)</f>
        <v/>
      </c>
      <c r="C29" s="19" t="str">
        <f>IF(データ入力!G25="","",データ入力!G25)</f>
        <v/>
      </c>
      <c r="D29" s="20" t="str">
        <f t="shared" si="0"/>
        <v/>
      </c>
      <c r="E29" s="20" t="str">
        <f t="shared" si="1"/>
        <v/>
      </c>
      <c r="F29" s="20" t="str">
        <f t="shared" si="2"/>
        <v/>
      </c>
      <c r="G29" s="21"/>
    </row>
    <row r="30" spans="2:7" x14ac:dyDescent="0.15">
      <c r="B30" s="19" t="str">
        <f>IF(データ入力!E26="","",データ入力!E26)</f>
        <v/>
      </c>
      <c r="C30" s="19" t="str">
        <f>IF(データ入力!G26="","",データ入力!G26)</f>
        <v/>
      </c>
      <c r="D30" s="20" t="str">
        <f t="shared" si="0"/>
        <v/>
      </c>
      <c r="E30" s="20" t="str">
        <f t="shared" si="1"/>
        <v/>
      </c>
      <c r="F30" s="20" t="str">
        <f t="shared" si="2"/>
        <v/>
      </c>
      <c r="G30" s="21"/>
    </row>
    <row r="31" spans="2:7" x14ac:dyDescent="0.15">
      <c r="B31" s="19" t="str">
        <f>IF(データ入力!E27="","",データ入力!E27)</f>
        <v/>
      </c>
      <c r="C31" s="19" t="str">
        <f>IF(データ入力!G27="","",データ入力!G27)</f>
        <v/>
      </c>
      <c r="D31" s="20" t="str">
        <f t="shared" si="0"/>
        <v/>
      </c>
      <c r="E31" s="20" t="str">
        <f t="shared" si="1"/>
        <v/>
      </c>
      <c r="F31" s="20" t="str">
        <f t="shared" si="2"/>
        <v/>
      </c>
      <c r="G31" s="21"/>
    </row>
    <row r="32" spans="2:7" x14ac:dyDescent="0.15">
      <c r="B32" s="19" t="str">
        <f>IF(データ入力!E28="","",データ入力!E28)</f>
        <v/>
      </c>
      <c r="C32" s="19" t="str">
        <f>IF(データ入力!G28="","",データ入力!G28)</f>
        <v/>
      </c>
      <c r="D32" s="20" t="str">
        <f t="shared" si="0"/>
        <v/>
      </c>
      <c r="E32" s="20" t="str">
        <f t="shared" si="1"/>
        <v/>
      </c>
      <c r="F32" s="20" t="str">
        <f t="shared" si="2"/>
        <v/>
      </c>
      <c r="G32" s="21"/>
    </row>
    <row r="33" spans="2:9" x14ac:dyDescent="0.15">
      <c r="B33" s="19" t="str">
        <f>IF(データ入力!E29="","",データ入力!E29)</f>
        <v/>
      </c>
      <c r="C33" s="19" t="str">
        <f>IF(データ入力!G29="","",データ入力!G29)</f>
        <v/>
      </c>
      <c r="D33" s="20" t="str">
        <f t="shared" si="0"/>
        <v/>
      </c>
      <c r="E33" s="20" t="str">
        <f t="shared" si="1"/>
        <v/>
      </c>
      <c r="F33" s="20" t="str">
        <f t="shared" si="2"/>
        <v/>
      </c>
      <c r="G33" s="21"/>
    </row>
    <row r="34" spans="2:9" x14ac:dyDescent="0.15">
      <c r="B34" s="19" t="str">
        <f>IF(データ入力!E30="","",データ入力!E30)</f>
        <v/>
      </c>
      <c r="C34" s="19" t="str">
        <f>IF(データ入力!G30="","",データ入力!G30)</f>
        <v/>
      </c>
      <c r="D34" s="20" t="str">
        <f t="shared" si="0"/>
        <v/>
      </c>
      <c r="E34" s="20" t="str">
        <f t="shared" si="1"/>
        <v/>
      </c>
      <c r="F34" s="20" t="str">
        <f t="shared" si="2"/>
        <v/>
      </c>
      <c r="G34" s="21"/>
      <c r="H34" s="1" t="s">
        <v>37</v>
      </c>
    </row>
    <row r="35" spans="2:9" x14ac:dyDescent="0.15">
      <c r="B35" s="19" t="str">
        <f>IF(データ入力!E31="","",データ入力!E31)</f>
        <v/>
      </c>
      <c r="C35" s="19" t="str">
        <f>IF(データ入力!G31="","",データ入力!G31)</f>
        <v/>
      </c>
      <c r="D35" s="20" t="str">
        <f t="shared" si="0"/>
        <v/>
      </c>
      <c r="E35" s="20" t="str">
        <f t="shared" si="1"/>
        <v/>
      </c>
      <c r="F35" s="20" t="str">
        <f t="shared" si="2"/>
        <v/>
      </c>
      <c r="G35" s="21"/>
      <c r="H35" s="1" t="s">
        <v>35</v>
      </c>
    </row>
    <row r="36" spans="2:9" x14ac:dyDescent="0.15">
      <c r="B36" s="19" t="str">
        <f>IF(データ入力!E32="","",データ入力!E32)</f>
        <v/>
      </c>
      <c r="C36" s="19" t="str">
        <f>IF(データ入力!G32="","",データ入力!G32)</f>
        <v/>
      </c>
      <c r="D36" s="20" t="str">
        <f t="shared" si="0"/>
        <v/>
      </c>
      <c r="E36" s="20" t="str">
        <f t="shared" si="1"/>
        <v/>
      </c>
      <c r="F36" s="20" t="str">
        <f t="shared" si="2"/>
        <v/>
      </c>
      <c r="G36" s="21"/>
      <c r="H36" s="2">
        <v>0</v>
      </c>
      <c r="I36" s="3">
        <f>$H$5</f>
        <v>109.79285691325023</v>
      </c>
    </row>
    <row r="37" spans="2:9" x14ac:dyDescent="0.15">
      <c r="B37" s="19" t="str">
        <f>IF(データ入力!E33="","",データ入力!E33)</f>
        <v/>
      </c>
      <c r="C37" s="19" t="str">
        <f>IF(データ入力!G33="","",データ入力!G33)</f>
        <v/>
      </c>
      <c r="D37" s="20" t="str">
        <f t="shared" si="0"/>
        <v/>
      </c>
      <c r="E37" s="20" t="str">
        <f t="shared" si="1"/>
        <v/>
      </c>
      <c r="F37" s="20" t="str">
        <f t="shared" si="2"/>
        <v/>
      </c>
      <c r="G37" s="21"/>
      <c r="H37" s="2">
        <f>MAX(B10:B109)</f>
        <v>49</v>
      </c>
      <c r="I37" s="3">
        <f>$H$5</f>
        <v>109.79285691325023</v>
      </c>
    </row>
    <row r="38" spans="2:9" x14ac:dyDescent="0.15">
      <c r="B38" s="19" t="str">
        <f>IF(データ入力!E34="","",データ入力!E34)</f>
        <v/>
      </c>
      <c r="C38" s="19" t="str">
        <f>IF(データ入力!G34="","",データ入力!G34)</f>
        <v/>
      </c>
      <c r="D38" s="20" t="str">
        <f t="shared" si="0"/>
        <v/>
      </c>
      <c r="E38" s="20" t="str">
        <f t="shared" si="1"/>
        <v/>
      </c>
      <c r="F38" s="20" t="str">
        <f t="shared" si="2"/>
        <v/>
      </c>
      <c r="G38" s="21"/>
      <c r="H38" s="1" t="s">
        <v>36</v>
      </c>
    </row>
    <row r="39" spans="2:9" x14ac:dyDescent="0.15">
      <c r="B39" s="19" t="str">
        <f>IF(データ入力!E35="","",データ入力!E35)</f>
        <v/>
      </c>
      <c r="C39" s="19" t="str">
        <f>IF(データ入力!G35="","",データ入力!G35)</f>
        <v/>
      </c>
      <c r="D39" s="20" t="str">
        <f t="shared" si="0"/>
        <v/>
      </c>
      <c r="E39" s="20" t="str">
        <f t="shared" si="1"/>
        <v/>
      </c>
      <c r="F39" s="20" t="str">
        <f t="shared" si="2"/>
        <v/>
      </c>
      <c r="G39" s="21"/>
      <c r="H39" s="2">
        <v>0</v>
      </c>
      <c r="I39" s="3">
        <f>$K$5</f>
        <v>114.41571404643972</v>
      </c>
    </row>
    <row r="40" spans="2:9" x14ac:dyDescent="0.15">
      <c r="B40" s="19" t="str">
        <f>IF(データ入力!E36="","",データ入力!E36)</f>
        <v/>
      </c>
      <c r="C40" s="19" t="str">
        <f>IF(データ入力!G36="","",データ入力!G36)</f>
        <v/>
      </c>
      <c r="D40" s="20" t="str">
        <f t="shared" si="0"/>
        <v/>
      </c>
      <c r="E40" s="20" t="str">
        <f t="shared" si="1"/>
        <v/>
      </c>
      <c r="F40" s="20" t="str">
        <f t="shared" si="2"/>
        <v/>
      </c>
      <c r="G40" s="21"/>
      <c r="H40" s="2">
        <f>MAX(B10:B109)</f>
        <v>49</v>
      </c>
      <c r="I40" s="3">
        <f>$K$5</f>
        <v>114.41571404643972</v>
      </c>
    </row>
    <row r="41" spans="2:9" x14ac:dyDescent="0.15">
      <c r="B41" s="19" t="str">
        <f>IF(データ入力!E37="","",データ入力!E37)</f>
        <v/>
      </c>
      <c r="C41" s="19" t="str">
        <f>IF(データ入力!G37="","",データ入力!G37)</f>
        <v/>
      </c>
      <c r="D41" s="20" t="str">
        <f t="shared" si="0"/>
        <v/>
      </c>
      <c r="E41" s="20" t="str">
        <f t="shared" si="1"/>
        <v/>
      </c>
      <c r="F41" s="20" t="str">
        <f t="shared" si="2"/>
        <v/>
      </c>
      <c r="G41" s="21"/>
    </row>
    <row r="42" spans="2:9" x14ac:dyDescent="0.15">
      <c r="B42" s="19" t="str">
        <f>IF(データ入力!E38="","",データ入力!E38)</f>
        <v/>
      </c>
      <c r="C42" s="19" t="str">
        <f>IF(データ入力!G38="","",データ入力!G38)</f>
        <v/>
      </c>
      <c r="D42" s="20" t="str">
        <f t="shared" si="0"/>
        <v/>
      </c>
      <c r="E42" s="20" t="str">
        <f t="shared" si="1"/>
        <v/>
      </c>
      <c r="F42" s="20" t="str">
        <f t="shared" si="2"/>
        <v/>
      </c>
      <c r="G42" s="21"/>
    </row>
    <row r="43" spans="2:9" x14ac:dyDescent="0.15">
      <c r="B43" s="19" t="str">
        <f>IF(データ入力!E39="","",データ入力!E39)</f>
        <v/>
      </c>
      <c r="C43" s="19" t="str">
        <f>IF(データ入力!G39="","",データ入力!G39)</f>
        <v/>
      </c>
      <c r="D43" s="20" t="str">
        <f t="shared" si="0"/>
        <v/>
      </c>
      <c r="E43" s="20" t="str">
        <f t="shared" si="1"/>
        <v/>
      </c>
      <c r="F43" s="20" t="str">
        <f t="shared" si="2"/>
        <v/>
      </c>
      <c r="G43" s="21"/>
    </row>
    <row r="44" spans="2:9" x14ac:dyDescent="0.15">
      <c r="B44" s="19" t="str">
        <f>IF(データ入力!E40="","",データ入力!E40)</f>
        <v/>
      </c>
      <c r="C44" s="19" t="str">
        <f>IF(データ入力!G40="","",データ入力!G40)</f>
        <v/>
      </c>
      <c r="D44" s="20" t="str">
        <f t="shared" si="0"/>
        <v/>
      </c>
      <c r="E44" s="20" t="str">
        <f t="shared" si="1"/>
        <v/>
      </c>
      <c r="F44" s="20" t="str">
        <f t="shared" si="2"/>
        <v/>
      </c>
      <c r="G44" s="21"/>
    </row>
    <row r="45" spans="2:9" x14ac:dyDescent="0.15">
      <c r="B45" s="19" t="str">
        <f>IF(データ入力!E41="","",データ入力!E41)</f>
        <v/>
      </c>
      <c r="C45" s="19" t="str">
        <f>IF(データ入力!G41="","",データ入力!G41)</f>
        <v/>
      </c>
      <c r="D45" s="20" t="str">
        <f t="shared" si="0"/>
        <v/>
      </c>
      <c r="E45" s="20" t="str">
        <f t="shared" si="1"/>
        <v/>
      </c>
      <c r="F45" s="20" t="str">
        <f t="shared" si="2"/>
        <v/>
      </c>
      <c r="G45" s="21"/>
    </row>
    <row r="46" spans="2:9" x14ac:dyDescent="0.15">
      <c r="B46" s="19" t="str">
        <f>IF(データ入力!E42="","",データ入力!E42)</f>
        <v/>
      </c>
      <c r="C46" s="19" t="str">
        <f>IF(データ入力!G42="","",データ入力!G42)</f>
        <v/>
      </c>
      <c r="D46" s="20" t="str">
        <f t="shared" si="0"/>
        <v/>
      </c>
      <c r="E46" s="20" t="str">
        <f t="shared" si="1"/>
        <v/>
      </c>
      <c r="F46" s="20" t="str">
        <f t="shared" si="2"/>
        <v/>
      </c>
      <c r="G46" s="21"/>
    </row>
    <row r="47" spans="2:9" x14ac:dyDescent="0.15">
      <c r="B47" s="19" t="str">
        <f>IF(データ入力!E43="","",データ入力!E43)</f>
        <v/>
      </c>
      <c r="C47" s="19" t="str">
        <f>IF(データ入力!G43="","",データ入力!G43)</f>
        <v/>
      </c>
      <c r="D47" s="20" t="str">
        <f t="shared" si="0"/>
        <v/>
      </c>
      <c r="E47" s="20" t="str">
        <f t="shared" si="1"/>
        <v/>
      </c>
      <c r="F47" s="20" t="str">
        <f t="shared" si="2"/>
        <v/>
      </c>
      <c r="G47" s="21"/>
    </row>
    <row r="48" spans="2:9" x14ac:dyDescent="0.15">
      <c r="B48" s="19" t="str">
        <f>IF(データ入力!E44="","",データ入力!E44)</f>
        <v/>
      </c>
      <c r="C48" s="19" t="str">
        <f>IF(データ入力!G44="","",データ入力!G44)</f>
        <v/>
      </c>
      <c r="D48" s="20" t="str">
        <f t="shared" si="0"/>
        <v/>
      </c>
      <c r="E48" s="20" t="str">
        <f t="shared" si="1"/>
        <v/>
      </c>
      <c r="F48" s="20" t="str">
        <f t="shared" si="2"/>
        <v/>
      </c>
      <c r="G48" s="21"/>
    </row>
    <row r="49" spans="2:7" x14ac:dyDescent="0.15">
      <c r="B49" s="19" t="str">
        <f>IF(データ入力!E45="","",データ入力!E45)</f>
        <v/>
      </c>
      <c r="C49" s="19" t="str">
        <f>IF(データ入力!G45="","",データ入力!G45)</f>
        <v/>
      </c>
      <c r="D49" s="20" t="str">
        <f t="shared" si="0"/>
        <v/>
      </c>
      <c r="E49" s="20" t="str">
        <f t="shared" si="1"/>
        <v/>
      </c>
      <c r="F49" s="20" t="str">
        <f t="shared" si="2"/>
        <v/>
      </c>
      <c r="G49" s="21"/>
    </row>
    <row r="50" spans="2:7" x14ac:dyDescent="0.15">
      <c r="B50" s="19" t="str">
        <f>IF(データ入力!E46="","",データ入力!E46)</f>
        <v/>
      </c>
      <c r="C50" s="19" t="str">
        <f>IF(データ入力!G46="","",データ入力!G46)</f>
        <v/>
      </c>
      <c r="D50" s="20" t="str">
        <f t="shared" si="0"/>
        <v/>
      </c>
      <c r="E50" s="20" t="str">
        <f t="shared" si="1"/>
        <v/>
      </c>
      <c r="F50" s="20" t="str">
        <f t="shared" si="2"/>
        <v/>
      </c>
      <c r="G50" s="21"/>
    </row>
    <row r="51" spans="2:7" x14ac:dyDescent="0.15">
      <c r="B51" s="19" t="str">
        <f>IF(データ入力!E47="","",データ入力!E47)</f>
        <v/>
      </c>
      <c r="C51" s="19" t="str">
        <f>IF(データ入力!G47="","",データ入力!G47)</f>
        <v/>
      </c>
      <c r="D51" s="20" t="str">
        <f t="shared" si="0"/>
        <v/>
      </c>
      <c r="E51" s="20" t="str">
        <f t="shared" si="1"/>
        <v/>
      </c>
      <c r="F51" s="20" t="str">
        <f t="shared" si="2"/>
        <v/>
      </c>
      <c r="G51" s="21"/>
    </row>
    <row r="52" spans="2:7" x14ac:dyDescent="0.15">
      <c r="B52" s="19" t="str">
        <f>IF(データ入力!E48="","",データ入力!E48)</f>
        <v/>
      </c>
      <c r="C52" s="19" t="str">
        <f>IF(データ入力!G48="","",データ入力!G48)</f>
        <v/>
      </c>
      <c r="D52" s="20" t="str">
        <f t="shared" si="0"/>
        <v/>
      </c>
      <c r="E52" s="20" t="str">
        <f t="shared" si="1"/>
        <v/>
      </c>
      <c r="F52" s="20" t="str">
        <f t="shared" si="2"/>
        <v/>
      </c>
      <c r="G52" s="21"/>
    </row>
    <row r="53" spans="2:7" x14ac:dyDescent="0.15">
      <c r="B53" s="19" t="str">
        <f>IF(データ入力!E49="","",データ入力!E49)</f>
        <v/>
      </c>
      <c r="C53" s="19" t="str">
        <f>IF(データ入力!G49="","",データ入力!G49)</f>
        <v/>
      </c>
      <c r="D53" s="20" t="str">
        <f t="shared" si="0"/>
        <v/>
      </c>
      <c r="E53" s="20" t="str">
        <f t="shared" si="1"/>
        <v/>
      </c>
      <c r="F53" s="20" t="str">
        <f t="shared" si="2"/>
        <v/>
      </c>
      <c r="G53" s="21"/>
    </row>
    <row r="54" spans="2:7" x14ac:dyDescent="0.15">
      <c r="B54" s="19" t="str">
        <f>IF(データ入力!E50="","",データ入力!E50)</f>
        <v/>
      </c>
      <c r="C54" s="19" t="str">
        <f>IF(データ入力!G50="","",データ入力!G50)</f>
        <v/>
      </c>
      <c r="D54" s="20" t="str">
        <f t="shared" si="0"/>
        <v/>
      </c>
      <c r="E54" s="20" t="str">
        <f t="shared" si="1"/>
        <v/>
      </c>
      <c r="F54" s="20" t="str">
        <f t="shared" si="2"/>
        <v/>
      </c>
      <c r="G54" s="21"/>
    </row>
    <row r="55" spans="2:7" x14ac:dyDescent="0.15">
      <c r="B55" s="19" t="str">
        <f>IF(データ入力!E51="","",データ入力!E51)</f>
        <v/>
      </c>
      <c r="C55" s="19" t="str">
        <f>IF(データ入力!G51="","",データ入力!G51)</f>
        <v/>
      </c>
      <c r="D55" s="20" t="str">
        <f t="shared" si="0"/>
        <v/>
      </c>
      <c r="E55" s="20" t="str">
        <f t="shared" si="1"/>
        <v/>
      </c>
      <c r="F55" s="20" t="str">
        <f t="shared" si="2"/>
        <v/>
      </c>
      <c r="G55" s="21"/>
    </row>
    <row r="56" spans="2:7" x14ac:dyDescent="0.15">
      <c r="B56" s="19" t="str">
        <f>IF(データ入力!E52="","",データ入力!E52)</f>
        <v/>
      </c>
      <c r="C56" s="19" t="str">
        <f>IF(データ入力!G52="","",データ入力!G52)</f>
        <v/>
      </c>
      <c r="D56" s="20" t="str">
        <f t="shared" si="0"/>
        <v/>
      </c>
      <c r="E56" s="20" t="str">
        <f t="shared" si="1"/>
        <v/>
      </c>
      <c r="F56" s="20" t="str">
        <f t="shared" si="2"/>
        <v/>
      </c>
      <c r="G56" s="21"/>
    </row>
    <row r="57" spans="2:7" x14ac:dyDescent="0.15">
      <c r="B57" s="19" t="str">
        <f>IF(データ入力!E53="","",データ入力!E53)</f>
        <v/>
      </c>
      <c r="C57" s="19" t="str">
        <f>IF(データ入力!G53="","",データ入力!G53)</f>
        <v/>
      </c>
      <c r="D57" s="20" t="str">
        <f t="shared" si="0"/>
        <v/>
      </c>
      <c r="E57" s="20" t="str">
        <f t="shared" si="1"/>
        <v/>
      </c>
      <c r="F57" s="20" t="str">
        <f t="shared" si="2"/>
        <v/>
      </c>
      <c r="G57" s="21"/>
    </row>
    <row r="58" spans="2:7" x14ac:dyDescent="0.15">
      <c r="B58" s="19" t="str">
        <f>IF(データ入力!E54="","",データ入力!E54)</f>
        <v/>
      </c>
      <c r="C58" s="19" t="str">
        <f>IF(データ入力!G54="","",データ入力!G54)</f>
        <v/>
      </c>
      <c r="D58" s="20" t="str">
        <f t="shared" si="0"/>
        <v/>
      </c>
      <c r="E58" s="20" t="str">
        <f t="shared" si="1"/>
        <v/>
      </c>
      <c r="F58" s="20" t="str">
        <f t="shared" si="2"/>
        <v/>
      </c>
      <c r="G58" s="21"/>
    </row>
    <row r="59" spans="2:7" x14ac:dyDescent="0.15">
      <c r="B59" s="19" t="str">
        <f>IF(データ入力!E55="","",データ入力!E55)</f>
        <v/>
      </c>
      <c r="C59" s="19" t="str">
        <f>IF(データ入力!G55="","",データ入力!G55)</f>
        <v/>
      </c>
      <c r="D59" s="20" t="str">
        <f t="shared" si="0"/>
        <v/>
      </c>
      <c r="E59" s="20" t="str">
        <f t="shared" si="1"/>
        <v/>
      </c>
      <c r="F59" s="20" t="str">
        <f t="shared" si="2"/>
        <v/>
      </c>
      <c r="G59" s="21"/>
    </row>
    <row r="60" spans="2:7" x14ac:dyDescent="0.15">
      <c r="B60" s="19" t="str">
        <f>IF(データ入力!E56="","",データ入力!E56)</f>
        <v/>
      </c>
      <c r="C60" s="19" t="str">
        <f>IF(データ入力!G56="","",データ入力!G56)</f>
        <v/>
      </c>
      <c r="D60" s="20" t="str">
        <f t="shared" si="0"/>
        <v/>
      </c>
      <c r="E60" s="20" t="str">
        <f t="shared" si="1"/>
        <v/>
      </c>
      <c r="F60" s="20" t="str">
        <f t="shared" si="2"/>
        <v/>
      </c>
      <c r="G60" s="21"/>
    </row>
    <row r="61" spans="2:7" x14ac:dyDescent="0.15">
      <c r="B61" s="19" t="str">
        <f>IF(データ入力!E57="","",データ入力!E57)</f>
        <v/>
      </c>
      <c r="C61" s="19" t="str">
        <f>IF(データ入力!G57="","",データ入力!G57)</f>
        <v/>
      </c>
      <c r="D61" s="20" t="str">
        <f t="shared" si="0"/>
        <v/>
      </c>
      <c r="E61" s="20" t="str">
        <f t="shared" si="1"/>
        <v/>
      </c>
      <c r="F61" s="20" t="str">
        <f t="shared" si="2"/>
        <v/>
      </c>
      <c r="G61" s="21"/>
    </row>
    <row r="62" spans="2:7" x14ac:dyDescent="0.15">
      <c r="B62" s="19" t="str">
        <f>IF(データ入力!E58="","",データ入力!E58)</f>
        <v/>
      </c>
      <c r="C62" s="19" t="str">
        <f>IF(データ入力!G58="","",データ入力!G58)</f>
        <v/>
      </c>
      <c r="D62" s="20" t="str">
        <f t="shared" si="0"/>
        <v/>
      </c>
      <c r="E62" s="20" t="str">
        <f t="shared" si="1"/>
        <v/>
      </c>
      <c r="F62" s="20" t="str">
        <f t="shared" si="2"/>
        <v/>
      </c>
      <c r="G62" s="21"/>
    </row>
    <row r="63" spans="2:7" x14ac:dyDescent="0.15">
      <c r="B63" s="19" t="str">
        <f>IF(データ入力!E59="","",データ入力!E59)</f>
        <v/>
      </c>
      <c r="C63" s="19" t="str">
        <f>IF(データ入力!G59="","",データ入力!G59)</f>
        <v/>
      </c>
      <c r="D63" s="20" t="str">
        <f t="shared" si="0"/>
        <v/>
      </c>
      <c r="E63" s="20" t="str">
        <f t="shared" si="1"/>
        <v/>
      </c>
      <c r="F63" s="20" t="str">
        <f t="shared" si="2"/>
        <v/>
      </c>
      <c r="G63" s="21"/>
    </row>
    <row r="64" spans="2:7" x14ac:dyDescent="0.15">
      <c r="B64" s="19" t="str">
        <f>IF(データ入力!E60="","",データ入力!E60)</f>
        <v/>
      </c>
      <c r="C64" s="19" t="str">
        <f>IF(データ入力!G60="","",データ入力!G60)</f>
        <v/>
      </c>
      <c r="D64" s="20" t="str">
        <f t="shared" si="0"/>
        <v/>
      </c>
      <c r="E64" s="20" t="str">
        <f t="shared" si="1"/>
        <v/>
      </c>
      <c r="F64" s="20" t="str">
        <f t="shared" si="2"/>
        <v/>
      </c>
      <c r="G64" s="21"/>
    </row>
    <row r="65" spans="2:7" x14ac:dyDescent="0.15">
      <c r="B65" s="19" t="str">
        <f>IF(データ入力!E61="","",データ入力!E61)</f>
        <v/>
      </c>
      <c r="C65" s="19" t="str">
        <f>IF(データ入力!G61="","",データ入力!G61)</f>
        <v/>
      </c>
      <c r="D65" s="20" t="str">
        <f t="shared" si="0"/>
        <v/>
      </c>
      <c r="E65" s="20" t="str">
        <f t="shared" si="1"/>
        <v/>
      </c>
      <c r="F65" s="20" t="str">
        <f t="shared" si="2"/>
        <v/>
      </c>
      <c r="G65" s="21"/>
    </row>
    <row r="66" spans="2:7" x14ac:dyDescent="0.15">
      <c r="B66" s="19" t="str">
        <f>IF(データ入力!E62="","",データ入力!E62)</f>
        <v/>
      </c>
      <c r="C66" s="19" t="str">
        <f>IF(データ入力!G62="","",データ入力!G62)</f>
        <v/>
      </c>
      <c r="D66" s="20" t="str">
        <f t="shared" si="0"/>
        <v/>
      </c>
      <c r="E66" s="20" t="str">
        <f t="shared" si="1"/>
        <v/>
      </c>
      <c r="F66" s="20" t="str">
        <f t="shared" si="2"/>
        <v/>
      </c>
      <c r="G66" s="21"/>
    </row>
    <row r="67" spans="2:7" x14ac:dyDescent="0.15">
      <c r="B67" s="19" t="str">
        <f>IF(データ入力!E63="","",データ入力!E63)</f>
        <v/>
      </c>
      <c r="C67" s="19" t="str">
        <f>IF(データ入力!G63="","",データ入力!G63)</f>
        <v/>
      </c>
      <c r="D67" s="20" t="str">
        <f t="shared" si="0"/>
        <v/>
      </c>
      <c r="E67" s="20" t="str">
        <f t="shared" si="1"/>
        <v/>
      </c>
      <c r="F67" s="20" t="str">
        <f t="shared" si="2"/>
        <v/>
      </c>
      <c r="G67" s="21"/>
    </row>
    <row r="68" spans="2:7" x14ac:dyDescent="0.15">
      <c r="B68" s="19" t="str">
        <f>IF(データ入力!E64="","",データ入力!E64)</f>
        <v/>
      </c>
      <c r="C68" s="19" t="str">
        <f>IF(データ入力!G64="","",データ入力!G64)</f>
        <v/>
      </c>
      <c r="D68" s="20" t="str">
        <f t="shared" si="0"/>
        <v/>
      </c>
      <c r="E68" s="20" t="str">
        <f t="shared" si="1"/>
        <v/>
      </c>
      <c r="F68" s="20" t="str">
        <f t="shared" si="2"/>
        <v/>
      </c>
      <c r="G68" s="21"/>
    </row>
    <row r="69" spans="2:7" x14ac:dyDescent="0.15">
      <c r="B69" s="19" t="str">
        <f>IF(データ入力!E65="","",データ入力!E65)</f>
        <v/>
      </c>
      <c r="C69" s="19" t="str">
        <f>IF(データ入力!G65="","",データ入力!G65)</f>
        <v/>
      </c>
      <c r="D69" s="20" t="str">
        <f t="shared" si="0"/>
        <v/>
      </c>
      <c r="E69" s="20" t="str">
        <f t="shared" si="1"/>
        <v/>
      </c>
      <c r="F69" s="20" t="str">
        <f t="shared" si="2"/>
        <v/>
      </c>
      <c r="G69" s="21"/>
    </row>
    <row r="70" spans="2:7" x14ac:dyDescent="0.15">
      <c r="B70" s="19" t="str">
        <f>IF(データ入力!E66="","",データ入力!E66)</f>
        <v/>
      </c>
      <c r="C70" s="19" t="str">
        <f>IF(データ入力!G66="","",データ入力!G66)</f>
        <v/>
      </c>
      <c r="D70" s="20" t="str">
        <f t="shared" si="0"/>
        <v/>
      </c>
      <c r="E70" s="20" t="str">
        <f t="shared" si="1"/>
        <v/>
      </c>
      <c r="F70" s="20" t="str">
        <f t="shared" si="2"/>
        <v/>
      </c>
      <c r="G70" s="21"/>
    </row>
    <row r="71" spans="2:7" x14ac:dyDescent="0.15">
      <c r="B71" s="19" t="str">
        <f>IF(データ入力!E67="","",データ入力!E67)</f>
        <v/>
      </c>
      <c r="C71" s="19" t="str">
        <f>IF(データ入力!G67="","",データ入力!G67)</f>
        <v/>
      </c>
      <c r="D71" s="20" t="str">
        <f t="shared" si="0"/>
        <v/>
      </c>
      <c r="E71" s="20" t="str">
        <f t="shared" si="1"/>
        <v/>
      </c>
      <c r="F71" s="20" t="str">
        <f t="shared" si="2"/>
        <v/>
      </c>
      <c r="G71" s="21"/>
    </row>
    <row r="72" spans="2:7" x14ac:dyDescent="0.15">
      <c r="B72" s="19" t="str">
        <f>IF(データ入力!E68="","",データ入力!E68)</f>
        <v/>
      </c>
      <c r="C72" s="19" t="str">
        <f>IF(データ入力!G68="","",データ入力!G68)</f>
        <v/>
      </c>
      <c r="D72" s="20" t="str">
        <f t="shared" si="0"/>
        <v/>
      </c>
      <c r="E72" s="20" t="str">
        <f t="shared" si="1"/>
        <v/>
      </c>
      <c r="F72" s="20" t="str">
        <f t="shared" si="2"/>
        <v/>
      </c>
      <c r="G72" s="21"/>
    </row>
    <row r="73" spans="2:7" x14ac:dyDescent="0.15">
      <c r="B73" s="19" t="str">
        <f>IF(データ入力!E69="","",データ入力!E69)</f>
        <v/>
      </c>
      <c r="C73" s="19" t="str">
        <f>IF(データ入力!G69="","",データ入力!G69)</f>
        <v/>
      </c>
      <c r="D73" s="20" t="str">
        <f t="shared" si="0"/>
        <v/>
      </c>
      <c r="E73" s="20" t="str">
        <f t="shared" si="1"/>
        <v/>
      </c>
      <c r="F73" s="20" t="str">
        <f t="shared" si="2"/>
        <v/>
      </c>
      <c r="G73" s="21"/>
    </row>
    <row r="74" spans="2:7" x14ac:dyDescent="0.15">
      <c r="B74" s="19" t="str">
        <f>IF(データ入力!E70="","",データ入力!E70)</f>
        <v/>
      </c>
      <c r="C74" s="19" t="str">
        <f>IF(データ入力!G70="","",データ入力!G70)</f>
        <v/>
      </c>
      <c r="D74" s="20" t="str">
        <f t="shared" si="0"/>
        <v/>
      </c>
      <c r="E74" s="20" t="str">
        <f t="shared" si="1"/>
        <v/>
      </c>
      <c r="F74" s="20" t="str">
        <f t="shared" si="2"/>
        <v/>
      </c>
      <c r="G74" s="21"/>
    </row>
    <row r="75" spans="2:7" x14ac:dyDescent="0.15">
      <c r="B75" s="19" t="str">
        <f>IF(データ入力!E71="","",データ入力!E71)</f>
        <v/>
      </c>
      <c r="C75" s="19" t="str">
        <f>IF(データ入力!G71="","",データ入力!G71)</f>
        <v/>
      </c>
      <c r="D75" s="20" t="str">
        <f t="shared" ref="D75:D109" si="3">IF(B75="","",IF(B75=0,0,$C$4*(1-EXP(-$C$5*B75))/(1+$C$6*$C$5*EXP(-$C$5*B75))))</f>
        <v/>
      </c>
      <c r="E75" s="20" t="str">
        <f t="shared" ref="E75:E109" si="4">IF(B75="","",C75-D75)</f>
        <v/>
      </c>
      <c r="F75" s="20" t="str">
        <f t="shared" ref="F75:F109" si="5">IF(B75="","",E75^2)</f>
        <v/>
      </c>
      <c r="G75" s="21"/>
    </row>
    <row r="76" spans="2:7" x14ac:dyDescent="0.15">
      <c r="B76" s="19" t="str">
        <f>IF(データ入力!E72="","",データ入力!E72)</f>
        <v/>
      </c>
      <c r="C76" s="19" t="str">
        <f>IF(データ入力!G72="","",データ入力!G72)</f>
        <v/>
      </c>
      <c r="D76" s="20" t="str">
        <f t="shared" si="3"/>
        <v/>
      </c>
      <c r="E76" s="20" t="str">
        <f t="shared" si="4"/>
        <v/>
      </c>
      <c r="F76" s="20" t="str">
        <f t="shared" si="5"/>
        <v/>
      </c>
      <c r="G76" s="21"/>
    </row>
    <row r="77" spans="2:7" x14ac:dyDescent="0.15">
      <c r="B77" s="19" t="str">
        <f>IF(データ入力!E73="","",データ入力!E73)</f>
        <v/>
      </c>
      <c r="C77" s="19" t="str">
        <f>IF(データ入力!G73="","",データ入力!G73)</f>
        <v/>
      </c>
      <c r="D77" s="20" t="str">
        <f t="shared" si="3"/>
        <v/>
      </c>
      <c r="E77" s="20" t="str">
        <f t="shared" si="4"/>
        <v/>
      </c>
      <c r="F77" s="20" t="str">
        <f t="shared" si="5"/>
        <v/>
      </c>
      <c r="G77" s="21"/>
    </row>
    <row r="78" spans="2:7" x14ac:dyDescent="0.15">
      <c r="B78" s="19" t="str">
        <f>IF(データ入力!E74="","",データ入力!E74)</f>
        <v/>
      </c>
      <c r="C78" s="19" t="str">
        <f>IF(データ入力!G74="","",データ入力!G74)</f>
        <v/>
      </c>
      <c r="D78" s="20" t="str">
        <f t="shared" si="3"/>
        <v/>
      </c>
      <c r="E78" s="20" t="str">
        <f t="shared" si="4"/>
        <v/>
      </c>
      <c r="F78" s="20" t="str">
        <f t="shared" si="5"/>
        <v/>
      </c>
      <c r="G78" s="21"/>
    </row>
    <row r="79" spans="2:7" x14ac:dyDescent="0.15">
      <c r="B79" s="19" t="str">
        <f>IF(データ入力!E75="","",データ入力!E75)</f>
        <v/>
      </c>
      <c r="C79" s="19" t="str">
        <f>IF(データ入力!G75="","",データ入力!G75)</f>
        <v/>
      </c>
      <c r="D79" s="20" t="str">
        <f t="shared" si="3"/>
        <v/>
      </c>
      <c r="E79" s="20" t="str">
        <f t="shared" si="4"/>
        <v/>
      </c>
      <c r="F79" s="20" t="str">
        <f t="shared" si="5"/>
        <v/>
      </c>
      <c r="G79" s="21"/>
    </row>
    <row r="80" spans="2:7" x14ac:dyDescent="0.15">
      <c r="B80" s="19"/>
      <c r="C80" s="19" t="str">
        <f>IF(データ入力!G76="","",データ入力!G76)</f>
        <v/>
      </c>
      <c r="D80" s="20" t="str">
        <f t="shared" si="3"/>
        <v/>
      </c>
      <c r="E80" s="20" t="str">
        <f t="shared" si="4"/>
        <v/>
      </c>
      <c r="F80" s="20" t="str">
        <f t="shared" si="5"/>
        <v/>
      </c>
      <c r="G80" s="21"/>
    </row>
    <row r="81" spans="2:7" x14ac:dyDescent="0.15">
      <c r="B81" s="19" t="str">
        <f>IF(データ入力!E77="","",データ入力!E77)</f>
        <v/>
      </c>
      <c r="C81" s="19" t="str">
        <f>IF(データ入力!G77="","",データ入力!G77)</f>
        <v/>
      </c>
      <c r="D81" s="20" t="str">
        <f t="shared" si="3"/>
        <v/>
      </c>
      <c r="E81" s="20" t="str">
        <f t="shared" si="4"/>
        <v/>
      </c>
      <c r="F81" s="20" t="str">
        <f t="shared" si="5"/>
        <v/>
      </c>
      <c r="G81" s="21"/>
    </row>
    <row r="82" spans="2:7" x14ac:dyDescent="0.15">
      <c r="B82" s="19" t="str">
        <f>IF(データ入力!E78="","",データ入力!E78)</f>
        <v/>
      </c>
      <c r="C82" s="19" t="str">
        <f>IF(データ入力!G78="","",データ入力!G78)</f>
        <v/>
      </c>
      <c r="D82" s="20" t="str">
        <f t="shared" si="3"/>
        <v/>
      </c>
      <c r="E82" s="20" t="str">
        <f t="shared" si="4"/>
        <v/>
      </c>
      <c r="F82" s="20" t="str">
        <f t="shared" si="5"/>
        <v/>
      </c>
      <c r="G82" s="21"/>
    </row>
    <row r="83" spans="2:7" x14ac:dyDescent="0.15">
      <c r="B83" s="19" t="str">
        <f>IF(データ入力!E79="","",データ入力!E79)</f>
        <v/>
      </c>
      <c r="C83" s="19" t="str">
        <f>IF(データ入力!G79="","",データ入力!G79)</f>
        <v/>
      </c>
      <c r="D83" s="20" t="str">
        <f t="shared" si="3"/>
        <v/>
      </c>
      <c r="E83" s="20" t="str">
        <f t="shared" si="4"/>
        <v/>
      </c>
      <c r="F83" s="20" t="str">
        <f t="shared" si="5"/>
        <v/>
      </c>
      <c r="G83" s="21"/>
    </row>
    <row r="84" spans="2:7" x14ac:dyDescent="0.15">
      <c r="B84" s="19" t="str">
        <f>IF(データ入力!E80="","",データ入力!E80)</f>
        <v/>
      </c>
      <c r="C84" s="19" t="str">
        <f>IF(データ入力!G80="","",データ入力!G80)</f>
        <v/>
      </c>
      <c r="D84" s="20" t="str">
        <f t="shared" si="3"/>
        <v/>
      </c>
      <c r="E84" s="20" t="str">
        <f t="shared" si="4"/>
        <v/>
      </c>
      <c r="F84" s="20" t="str">
        <f t="shared" si="5"/>
        <v/>
      </c>
      <c r="G84" s="21"/>
    </row>
    <row r="85" spans="2:7" x14ac:dyDescent="0.15">
      <c r="B85" s="19" t="str">
        <f>IF(データ入力!E81="","",データ入力!E81)</f>
        <v/>
      </c>
      <c r="C85" s="19" t="str">
        <f>IF(データ入力!G81="","",データ入力!G81)</f>
        <v/>
      </c>
      <c r="D85" s="20" t="str">
        <f t="shared" si="3"/>
        <v/>
      </c>
      <c r="E85" s="20" t="str">
        <f t="shared" si="4"/>
        <v/>
      </c>
      <c r="F85" s="20" t="str">
        <f t="shared" si="5"/>
        <v/>
      </c>
      <c r="G85" s="21"/>
    </row>
    <row r="86" spans="2:7" x14ac:dyDescent="0.15">
      <c r="B86" s="19" t="str">
        <f>IF(データ入力!E82="","",データ入力!E82)</f>
        <v/>
      </c>
      <c r="C86" s="19" t="str">
        <f>IF(データ入力!G82="","",データ入力!G82)</f>
        <v/>
      </c>
      <c r="D86" s="20" t="str">
        <f t="shared" si="3"/>
        <v/>
      </c>
      <c r="E86" s="20" t="str">
        <f t="shared" si="4"/>
        <v/>
      </c>
      <c r="F86" s="20" t="str">
        <f t="shared" si="5"/>
        <v/>
      </c>
      <c r="G86" s="21"/>
    </row>
    <row r="87" spans="2:7" x14ac:dyDescent="0.15">
      <c r="B87" s="19" t="str">
        <f>IF(データ入力!E83="","",データ入力!E83)</f>
        <v/>
      </c>
      <c r="C87" s="19" t="str">
        <f>IF(データ入力!G83="","",データ入力!G83)</f>
        <v/>
      </c>
      <c r="D87" s="20" t="str">
        <f t="shared" si="3"/>
        <v/>
      </c>
      <c r="E87" s="20" t="str">
        <f t="shared" si="4"/>
        <v/>
      </c>
      <c r="F87" s="20" t="str">
        <f t="shared" si="5"/>
        <v/>
      </c>
      <c r="G87" s="21"/>
    </row>
    <row r="88" spans="2:7" x14ac:dyDescent="0.15">
      <c r="B88" s="19" t="str">
        <f>IF(データ入力!E84="","",データ入力!E84)</f>
        <v/>
      </c>
      <c r="C88" s="19" t="str">
        <f>IF(データ入力!G84="","",データ入力!G84)</f>
        <v/>
      </c>
      <c r="D88" s="20" t="str">
        <f t="shared" si="3"/>
        <v/>
      </c>
      <c r="E88" s="20" t="str">
        <f t="shared" si="4"/>
        <v/>
      </c>
      <c r="F88" s="20" t="str">
        <f t="shared" si="5"/>
        <v/>
      </c>
      <c r="G88" s="21"/>
    </row>
    <row r="89" spans="2:7" x14ac:dyDescent="0.15">
      <c r="B89" s="19" t="str">
        <f>IF(データ入力!E85="","",データ入力!E85)</f>
        <v/>
      </c>
      <c r="C89" s="19" t="str">
        <f>IF(データ入力!G85="","",データ入力!G85)</f>
        <v/>
      </c>
      <c r="D89" s="20" t="str">
        <f t="shared" si="3"/>
        <v/>
      </c>
      <c r="E89" s="20" t="str">
        <f t="shared" si="4"/>
        <v/>
      </c>
      <c r="F89" s="20" t="str">
        <f t="shared" si="5"/>
        <v/>
      </c>
      <c r="G89" s="21"/>
    </row>
    <row r="90" spans="2:7" x14ac:dyDescent="0.15">
      <c r="B90" s="19" t="str">
        <f>IF(データ入力!E86="","",データ入力!E86)</f>
        <v/>
      </c>
      <c r="C90" s="19" t="str">
        <f>IF(データ入力!G86="","",データ入力!G86)</f>
        <v/>
      </c>
      <c r="D90" s="20" t="str">
        <f t="shared" si="3"/>
        <v/>
      </c>
      <c r="E90" s="20" t="str">
        <f t="shared" si="4"/>
        <v/>
      </c>
      <c r="F90" s="20" t="str">
        <f t="shared" si="5"/>
        <v/>
      </c>
      <c r="G90" s="21"/>
    </row>
    <row r="91" spans="2:7" x14ac:dyDescent="0.15">
      <c r="B91" s="19" t="str">
        <f>IF(データ入力!E87="","",データ入力!E87)</f>
        <v/>
      </c>
      <c r="C91" s="19" t="str">
        <f>IF(データ入力!G87="","",データ入力!G87)</f>
        <v/>
      </c>
      <c r="D91" s="20" t="str">
        <f t="shared" si="3"/>
        <v/>
      </c>
      <c r="E91" s="20" t="str">
        <f t="shared" si="4"/>
        <v/>
      </c>
      <c r="F91" s="20" t="str">
        <f t="shared" si="5"/>
        <v/>
      </c>
      <c r="G91" s="21"/>
    </row>
    <row r="92" spans="2:7" x14ac:dyDescent="0.15">
      <c r="B92" s="19" t="str">
        <f>IF(データ入力!E88="","",データ入力!E88)</f>
        <v/>
      </c>
      <c r="C92" s="19" t="str">
        <f>IF(データ入力!G88="","",データ入力!G88)</f>
        <v/>
      </c>
      <c r="D92" s="20" t="str">
        <f t="shared" si="3"/>
        <v/>
      </c>
      <c r="E92" s="20" t="str">
        <f t="shared" si="4"/>
        <v/>
      </c>
      <c r="F92" s="20" t="str">
        <f t="shared" si="5"/>
        <v/>
      </c>
      <c r="G92" s="21"/>
    </row>
    <row r="93" spans="2:7" x14ac:dyDescent="0.15">
      <c r="B93" s="19" t="str">
        <f>IF(データ入力!E89="","",データ入力!E89)</f>
        <v/>
      </c>
      <c r="C93" s="19" t="str">
        <f>IF(データ入力!G89="","",データ入力!G89)</f>
        <v/>
      </c>
      <c r="D93" s="20" t="str">
        <f t="shared" si="3"/>
        <v/>
      </c>
      <c r="E93" s="20" t="str">
        <f t="shared" si="4"/>
        <v/>
      </c>
      <c r="F93" s="20" t="str">
        <f t="shared" si="5"/>
        <v/>
      </c>
      <c r="G93" s="21"/>
    </row>
    <row r="94" spans="2:7" x14ac:dyDescent="0.15">
      <c r="B94" s="19" t="str">
        <f>IF(データ入力!E90="","",データ入力!E90)</f>
        <v/>
      </c>
      <c r="C94" s="19" t="str">
        <f>IF(データ入力!G90="","",データ入力!G90)</f>
        <v/>
      </c>
      <c r="D94" s="20" t="str">
        <f t="shared" si="3"/>
        <v/>
      </c>
      <c r="E94" s="20" t="str">
        <f t="shared" si="4"/>
        <v/>
      </c>
      <c r="F94" s="20" t="str">
        <f t="shared" si="5"/>
        <v/>
      </c>
      <c r="G94" s="21"/>
    </row>
    <row r="95" spans="2:7" x14ac:dyDescent="0.15">
      <c r="B95" s="19" t="str">
        <f>IF(データ入力!E91="","",データ入力!E91)</f>
        <v/>
      </c>
      <c r="C95" s="19" t="str">
        <f>IF(データ入力!G91="","",データ入力!G91)</f>
        <v/>
      </c>
      <c r="D95" s="20" t="str">
        <f t="shared" si="3"/>
        <v/>
      </c>
      <c r="E95" s="20" t="str">
        <f t="shared" si="4"/>
        <v/>
      </c>
      <c r="F95" s="20" t="str">
        <f t="shared" si="5"/>
        <v/>
      </c>
      <c r="G95" s="21"/>
    </row>
    <row r="96" spans="2:7" x14ac:dyDescent="0.15">
      <c r="B96" s="19" t="str">
        <f>IF(データ入力!E92="","",データ入力!E92)</f>
        <v/>
      </c>
      <c r="C96" s="19" t="str">
        <f>IF(データ入力!G92="","",データ入力!G92)</f>
        <v/>
      </c>
      <c r="D96" s="20" t="str">
        <f t="shared" si="3"/>
        <v/>
      </c>
      <c r="E96" s="20" t="str">
        <f t="shared" si="4"/>
        <v/>
      </c>
      <c r="F96" s="20" t="str">
        <f t="shared" si="5"/>
        <v/>
      </c>
      <c r="G96" s="21"/>
    </row>
    <row r="97" spans="2:7" x14ac:dyDescent="0.15">
      <c r="B97" s="19" t="str">
        <f>IF(データ入力!E93="","",データ入力!E93)</f>
        <v/>
      </c>
      <c r="C97" s="19" t="str">
        <f>IF(データ入力!G93="","",データ入力!G93)</f>
        <v/>
      </c>
      <c r="D97" s="20" t="str">
        <f t="shared" si="3"/>
        <v/>
      </c>
      <c r="E97" s="20" t="str">
        <f t="shared" si="4"/>
        <v/>
      </c>
      <c r="F97" s="20" t="str">
        <f t="shared" si="5"/>
        <v/>
      </c>
      <c r="G97" s="21"/>
    </row>
    <row r="98" spans="2:7" x14ac:dyDescent="0.15">
      <c r="B98" s="19" t="str">
        <f>IF(データ入力!E94="","",データ入力!E94)</f>
        <v/>
      </c>
      <c r="C98" s="19" t="str">
        <f>IF(データ入力!G94="","",データ入力!G94)</f>
        <v/>
      </c>
      <c r="D98" s="20" t="str">
        <f t="shared" si="3"/>
        <v/>
      </c>
      <c r="E98" s="20" t="str">
        <f t="shared" si="4"/>
        <v/>
      </c>
      <c r="F98" s="20" t="str">
        <f t="shared" si="5"/>
        <v/>
      </c>
      <c r="G98" s="21"/>
    </row>
    <row r="99" spans="2:7" x14ac:dyDescent="0.15">
      <c r="B99" s="19" t="str">
        <f>IF(データ入力!E95="","",データ入力!E95)</f>
        <v/>
      </c>
      <c r="C99" s="19" t="str">
        <f>IF(データ入力!G95="","",データ入力!G95)</f>
        <v/>
      </c>
      <c r="D99" s="20" t="str">
        <f t="shared" si="3"/>
        <v/>
      </c>
      <c r="E99" s="20" t="str">
        <f t="shared" si="4"/>
        <v/>
      </c>
      <c r="F99" s="20" t="str">
        <f t="shared" si="5"/>
        <v/>
      </c>
      <c r="G99" s="21"/>
    </row>
    <row r="100" spans="2:7" x14ac:dyDescent="0.15">
      <c r="B100" s="19" t="str">
        <f>IF(データ入力!E96="","",データ入力!E96)</f>
        <v/>
      </c>
      <c r="C100" s="19" t="str">
        <f>IF(データ入力!G96="","",データ入力!G96)</f>
        <v/>
      </c>
      <c r="D100" s="20" t="str">
        <f t="shared" si="3"/>
        <v/>
      </c>
      <c r="E100" s="20" t="str">
        <f t="shared" si="4"/>
        <v/>
      </c>
      <c r="F100" s="20" t="str">
        <f t="shared" si="5"/>
        <v/>
      </c>
      <c r="G100" s="21"/>
    </row>
    <row r="101" spans="2:7" x14ac:dyDescent="0.15">
      <c r="B101" s="19" t="str">
        <f>IF(データ入力!E97="","",データ入力!E97)</f>
        <v/>
      </c>
      <c r="C101" s="19" t="str">
        <f>IF(データ入力!G97="","",データ入力!G97)</f>
        <v/>
      </c>
      <c r="D101" s="20" t="str">
        <f t="shared" si="3"/>
        <v/>
      </c>
      <c r="E101" s="20" t="str">
        <f t="shared" si="4"/>
        <v/>
      </c>
      <c r="F101" s="20" t="str">
        <f t="shared" si="5"/>
        <v/>
      </c>
      <c r="G101" s="21"/>
    </row>
    <row r="102" spans="2:7" x14ac:dyDescent="0.15">
      <c r="B102" s="19" t="str">
        <f>IF(データ入力!E98="","",データ入力!E98)</f>
        <v/>
      </c>
      <c r="C102" s="19" t="str">
        <f>IF(データ入力!G98="","",データ入力!G98)</f>
        <v/>
      </c>
      <c r="D102" s="20" t="str">
        <f t="shared" si="3"/>
        <v/>
      </c>
      <c r="E102" s="20" t="str">
        <f t="shared" si="4"/>
        <v/>
      </c>
      <c r="F102" s="20" t="str">
        <f t="shared" si="5"/>
        <v/>
      </c>
      <c r="G102" s="21"/>
    </row>
    <row r="103" spans="2:7" x14ac:dyDescent="0.15">
      <c r="B103" s="19" t="str">
        <f>IF(データ入力!E99="","",データ入力!E99)</f>
        <v/>
      </c>
      <c r="C103" s="19" t="str">
        <f>IF(データ入力!G99="","",データ入力!G99)</f>
        <v/>
      </c>
      <c r="D103" s="20" t="str">
        <f t="shared" si="3"/>
        <v/>
      </c>
      <c r="E103" s="20" t="str">
        <f t="shared" si="4"/>
        <v/>
      </c>
      <c r="F103" s="20" t="str">
        <f t="shared" si="5"/>
        <v/>
      </c>
      <c r="G103" s="21"/>
    </row>
    <row r="104" spans="2:7" x14ac:dyDescent="0.15">
      <c r="B104" s="19" t="str">
        <f>IF(データ入力!E100="","",データ入力!E100)</f>
        <v/>
      </c>
      <c r="C104" s="19" t="str">
        <f>IF(データ入力!G100="","",データ入力!G100)</f>
        <v/>
      </c>
      <c r="D104" s="20" t="str">
        <f t="shared" si="3"/>
        <v/>
      </c>
      <c r="E104" s="20" t="str">
        <f t="shared" si="4"/>
        <v/>
      </c>
      <c r="F104" s="20" t="str">
        <f t="shared" si="5"/>
        <v/>
      </c>
      <c r="G104" s="21"/>
    </row>
    <row r="105" spans="2:7" x14ac:dyDescent="0.15">
      <c r="B105" s="19" t="str">
        <f>IF(データ入力!E101="","",データ入力!E101)</f>
        <v/>
      </c>
      <c r="C105" s="19" t="str">
        <f>IF(データ入力!G101="","",データ入力!G101)</f>
        <v/>
      </c>
      <c r="D105" s="20" t="str">
        <f t="shared" si="3"/>
        <v/>
      </c>
      <c r="E105" s="20" t="str">
        <f t="shared" si="4"/>
        <v/>
      </c>
      <c r="F105" s="20" t="str">
        <f t="shared" si="5"/>
        <v/>
      </c>
      <c r="G105" s="21"/>
    </row>
    <row r="106" spans="2:7" x14ac:dyDescent="0.15">
      <c r="B106" s="19" t="str">
        <f>IF(データ入力!E102="","",データ入力!E102)</f>
        <v/>
      </c>
      <c r="C106" s="19" t="str">
        <f>IF(データ入力!G102="","",データ入力!G102)</f>
        <v/>
      </c>
      <c r="D106" s="20" t="str">
        <f t="shared" si="3"/>
        <v/>
      </c>
      <c r="E106" s="20" t="str">
        <f t="shared" si="4"/>
        <v/>
      </c>
      <c r="F106" s="20" t="str">
        <f t="shared" si="5"/>
        <v/>
      </c>
      <c r="G106" s="21"/>
    </row>
    <row r="107" spans="2:7" x14ac:dyDescent="0.15">
      <c r="B107" s="19" t="str">
        <f>IF(データ入力!E103="","",データ入力!E103)</f>
        <v/>
      </c>
      <c r="C107" s="19" t="str">
        <f>IF(データ入力!G103="","",データ入力!G103)</f>
        <v/>
      </c>
      <c r="D107" s="20" t="str">
        <f t="shared" si="3"/>
        <v/>
      </c>
      <c r="E107" s="20" t="str">
        <f t="shared" si="4"/>
        <v/>
      </c>
      <c r="F107" s="20" t="str">
        <f t="shared" si="5"/>
        <v/>
      </c>
      <c r="G107" s="21"/>
    </row>
    <row r="108" spans="2:7" x14ac:dyDescent="0.15">
      <c r="B108" s="19" t="str">
        <f>IF(データ入力!E104="","",データ入力!E104)</f>
        <v/>
      </c>
      <c r="C108" s="19" t="str">
        <f>IF(データ入力!G104="","",データ入力!G104)</f>
        <v/>
      </c>
      <c r="D108" s="20" t="str">
        <f t="shared" si="3"/>
        <v/>
      </c>
      <c r="E108" s="20" t="str">
        <f t="shared" si="4"/>
        <v/>
      </c>
      <c r="F108" s="20" t="str">
        <f t="shared" si="5"/>
        <v/>
      </c>
      <c r="G108" s="21"/>
    </row>
    <row r="109" spans="2:7" x14ac:dyDescent="0.15">
      <c r="B109" s="19" t="str">
        <f>IF(データ入力!E105="","",データ入力!E105)</f>
        <v/>
      </c>
      <c r="C109" s="19" t="str">
        <f>IF(データ入力!G105="","",データ入力!G105)</f>
        <v/>
      </c>
      <c r="D109" s="20" t="str">
        <f t="shared" si="3"/>
        <v/>
      </c>
      <c r="E109" s="20" t="str">
        <f t="shared" si="4"/>
        <v/>
      </c>
      <c r="F109" s="20" t="str">
        <f t="shared" si="5"/>
        <v/>
      </c>
      <c r="G109" s="21"/>
    </row>
  </sheetData>
  <scenarios current="0">
    <scenario name="srgm_test" count="3" user="Tomi" comment="作成者 : Tomi 日付 : 8/19/2010">
      <inputCells r="C4" val="85.2303964347601"/>
      <inputCells r="C5" val="12.4553706530314"/>
      <inputCells r="C6" val="0.986959959300145"/>
    </scenario>
  </scenarios>
  <mergeCells count="2">
    <mergeCell ref="E4:F4"/>
    <mergeCell ref="E5:F5"/>
  </mergeCells>
  <phoneticPr fontId="2"/>
  <pageMargins left="0.75" right="0.75" top="1" bottom="1"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17409" r:id="rId4" name="CommandButton1">
          <controlPr defaultSize="0" autoLine="0" r:id="rId5">
            <anchor moveWithCells="1">
              <from>
                <xdr:col>6</xdr:col>
                <xdr:colOff>114300</xdr:colOff>
                <xdr:row>5</xdr:row>
                <xdr:rowOff>57150</xdr:rowOff>
              </from>
              <to>
                <xdr:col>6</xdr:col>
                <xdr:colOff>885825</xdr:colOff>
                <xdr:row>6</xdr:row>
                <xdr:rowOff>142875</xdr:rowOff>
              </to>
            </anchor>
          </controlPr>
        </control>
      </mc:Choice>
      <mc:Fallback>
        <control shapeId="17409" r:id="rId4"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465BC-4814-4700-B38E-11D909B61F76}">
  <sheetPr codeName="Sheet12"/>
  <dimension ref="B1:Q109"/>
  <sheetViews>
    <sheetView zoomScaleNormal="100" workbookViewId="0"/>
  </sheetViews>
  <sheetFormatPr defaultRowHeight="13.5" x14ac:dyDescent="0.15"/>
  <cols>
    <col min="1" max="1" width="2.625" style="1" customWidth="1"/>
    <col min="2" max="7" width="13.25" style="1" customWidth="1"/>
    <col min="8" max="9" width="9.5" style="1" customWidth="1"/>
    <col min="10" max="10" width="3.375" style="1" customWidth="1"/>
    <col min="11" max="12" width="9.5" style="1" customWidth="1"/>
    <col min="13" max="16384" width="9" style="1"/>
  </cols>
  <sheetData>
    <row r="1" spans="2:17" x14ac:dyDescent="0.15">
      <c r="D1" s="1" t="s">
        <v>93</v>
      </c>
      <c r="E1" s="1" t="s">
        <v>38</v>
      </c>
    </row>
    <row r="2" spans="2:17" x14ac:dyDescent="0.15">
      <c r="B2" s="1" t="s">
        <v>0</v>
      </c>
      <c r="C2" s="1" t="s">
        <v>85</v>
      </c>
      <c r="D2" s="53">
        <v>176.47642622560343</v>
      </c>
      <c r="E2" s="52" t="s">
        <v>29</v>
      </c>
      <c r="F2" s="3">
        <f>MAX(D10:D109)/D2*100</f>
        <v>88.152097976032834</v>
      </c>
      <c r="Q2"/>
    </row>
    <row r="3" spans="2:17" x14ac:dyDescent="0.15">
      <c r="B3" s="1" t="s">
        <v>61</v>
      </c>
      <c r="C3" s="1">
        <v>5</v>
      </c>
      <c r="D3" s="53">
        <v>0.10389937767265339</v>
      </c>
      <c r="E3" s="52" t="s">
        <v>39</v>
      </c>
      <c r="F3" s="3">
        <f>D2-MAX(D10:D109)</f>
        <v>20.908754074608197</v>
      </c>
      <c r="H3" s="1" t="s">
        <v>7</v>
      </c>
      <c r="J3" s="5"/>
      <c r="K3" s="1" t="s">
        <v>8</v>
      </c>
      <c r="N3" s="5" t="s">
        <v>64</v>
      </c>
      <c r="O3" s="5"/>
    </row>
    <row r="4" spans="2:17" ht="14.25" thickBot="1" x14ac:dyDescent="0.2">
      <c r="B4" s="13"/>
      <c r="C4" s="54"/>
      <c r="D4" s="53">
        <v>4.3531007723920823E-2</v>
      </c>
      <c r="E4" s="61" t="s">
        <v>6</v>
      </c>
      <c r="F4" s="62"/>
      <c r="H4" s="7">
        <v>0.95</v>
      </c>
      <c r="I4" s="8" t="s">
        <v>9</v>
      </c>
      <c r="J4" s="5"/>
      <c r="K4" s="9">
        <v>0.99</v>
      </c>
      <c r="L4" s="10" t="s">
        <v>9</v>
      </c>
      <c r="N4" s="15" t="s">
        <v>25</v>
      </c>
      <c r="O4" s="31">
        <f>C7*LN((2*3.14*E5/C7)+1)+2*(C3+1)</f>
        <v>62.168005186742022</v>
      </c>
    </row>
    <row r="5" spans="2:17" x14ac:dyDescent="0.15">
      <c r="B5" s="13"/>
      <c r="C5" s="54"/>
      <c r="D5" s="53">
        <v>0.89610062232734644</v>
      </c>
      <c r="E5" s="65">
        <f>SUM(F10:F109)</f>
        <v>672.61969752834466</v>
      </c>
      <c r="F5" s="64"/>
      <c r="H5" s="23">
        <f>D2*0.95</f>
        <v>167.65260491432326</v>
      </c>
      <c r="I5" s="22">
        <v>68.818358704447746</v>
      </c>
      <c r="J5" s="5"/>
      <c r="K5" s="22">
        <f>D2*0.99</f>
        <v>174.71166196334741</v>
      </c>
      <c r="L5" s="22">
        <v>105.79060763120651</v>
      </c>
    </row>
    <row r="6" spans="2:17" x14ac:dyDescent="0.15">
      <c r="B6" s="13"/>
      <c r="C6" s="54"/>
      <c r="D6" s="53">
        <v>4.3531007723920719E-2</v>
      </c>
      <c r="E6" s="1" t="s">
        <v>10</v>
      </c>
      <c r="J6" s="5"/>
    </row>
    <row r="7" spans="2:17" x14ac:dyDescent="0.15">
      <c r="B7" s="14" t="s">
        <v>30</v>
      </c>
      <c r="C7" s="29">
        <f>COUNT(C10:C109)</f>
        <v>8</v>
      </c>
      <c r="D7" s="55"/>
    </row>
    <row r="8" spans="2:17" x14ac:dyDescent="0.15">
      <c r="B8" s="15" t="s">
        <v>1</v>
      </c>
    </row>
    <row r="9" spans="2:17" ht="27.75" thickBot="1" x14ac:dyDescent="0.2">
      <c r="B9" s="16" t="s">
        <v>45</v>
      </c>
      <c r="C9" s="17" t="s">
        <v>3</v>
      </c>
      <c r="D9" s="17" t="s">
        <v>34</v>
      </c>
      <c r="E9" s="17" t="s">
        <v>4</v>
      </c>
      <c r="F9" s="17" t="s">
        <v>5</v>
      </c>
      <c r="G9" s="18"/>
    </row>
    <row r="10" spans="2:17" x14ac:dyDescent="0.15">
      <c r="B10" s="19">
        <f>IF(データ入力!E6="","",データ入力!E6)</f>
        <v>0</v>
      </c>
      <c r="C10" s="19">
        <f>IF(データ入力!G6="","",データ入力!G6)</f>
        <v>1</v>
      </c>
      <c r="D10" s="20">
        <f>IF(B10="","",IF(B10=0,0,$D$2*($D$3*(1-EXP(-$D$4*B10))+$D$5*(1-EXP(-$D$6*B10)))))</f>
        <v>0</v>
      </c>
      <c r="E10" s="20">
        <f>IF(B10="","",C10-D10)</f>
        <v>1</v>
      </c>
      <c r="F10" s="20">
        <f>IF(B10="","",E10^2)</f>
        <v>1</v>
      </c>
      <c r="G10" s="21"/>
    </row>
    <row r="11" spans="2:17" x14ac:dyDescent="0.15">
      <c r="B11" s="19">
        <f>IF(データ入力!E7="","",データ入力!E7)</f>
        <v>7</v>
      </c>
      <c r="C11" s="19">
        <f>IF(データ入力!G7="","",データ入力!G7)</f>
        <v>67</v>
      </c>
      <c r="D11" s="20">
        <f t="shared" ref="D11:D74" si="0">IF(B11="","",IF(B11=0,0,$D$2*($D$3*(1-EXP(-$D$4*B11))+$D$5*(1-EXP(-$D$6*B11)))))</f>
        <v>46.354715224923581</v>
      </c>
      <c r="E11" s="20">
        <f t="shared" ref="E11:E74" si="1">IF(B11="","",C11-D11)</f>
        <v>20.645284775076419</v>
      </c>
      <c r="F11" s="20">
        <f t="shared" ref="F11:F74" si="2">IF(B11="","",E11^2)</f>
        <v>426.22778344400217</v>
      </c>
      <c r="G11" s="21"/>
    </row>
    <row r="12" spans="2:17" x14ac:dyDescent="0.15">
      <c r="B12" s="19">
        <f>IF(データ入力!E8="","",データ入力!E8)</f>
        <v>14</v>
      </c>
      <c r="C12" s="19">
        <f>IF(データ入力!G8="","",データ入力!G8)</f>
        <v>81</v>
      </c>
      <c r="D12" s="20">
        <f t="shared" si="0"/>
        <v>80.533528718718273</v>
      </c>
      <c r="E12" s="20">
        <f t="shared" si="1"/>
        <v>0.4664712812817271</v>
      </c>
      <c r="F12" s="20">
        <f t="shared" si="2"/>
        <v>0.21759545626061616</v>
      </c>
      <c r="G12" s="21"/>
    </row>
    <row r="13" spans="2:17" x14ac:dyDescent="0.15">
      <c r="B13" s="19">
        <f>IF(データ入力!E9="","",データ入力!E9)</f>
        <v>21</v>
      </c>
      <c r="C13" s="19">
        <f>IF(データ入力!G9="","",データ入力!G9)</f>
        <v>99</v>
      </c>
      <c r="D13" s="20">
        <f t="shared" si="0"/>
        <v>105.73466060304274</v>
      </c>
      <c r="E13" s="20">
        <f t="shared" si="1"/>
        <v>-6.7346606030427409</v>
      </c>
      <c r="F13" s="20">
        <f t="shared" si="2"/>
        <v>45.355653438176013</v>
      </c>
      <c r="G13" s="21"/>
    </row>
    <row r="14" spans="2:17" x14ac:dyDescent="0.15">
      <c r="B14" s="19">
        <f>IF(データ入力!E10="","",データ入力!E10)</f>
        <v>28</v>
      </c>
      <c r="C14" s="19">
        <f>IF(データ入力!G10="","",データ入力!G10)</f>
        <v>117</v>
      </c>
      <c r="D14" s="20">
        <f t="shared" si="0"/>
        <v>124.31626082056992</v>
      </c>
      <c r="E14" s="20">
        <f t="shared" si="1"/>
        <v>-7.3162608205699229</v>
      </c>
      <c r="F14" s="20">
        <f t="shared" si="2"/>
        <v>53.527672394606483</v>
      </c>
      <c r="G14" s="21"/>
    </row>
    <row r="15" spans="2:17" x14ac:dyDescent="0.15">
      <c r="B15" s="19">
        <f>IF(データ入力!E11="","",データ入力!E11)</f>
        <v>35</v>
      </c>
      <c r="C15" s="19">
        <f>IF(データ入力!G11="","",データ入力!G11)</f>
        <v>132</v>
      </c>
      <c r="D15" s="20">
        <f t="shared" si="0"/>
        <v>138.01706871399523</v>
      </c>
      <c r="E15" s="20">
        <f t="shared" si="1"/>
        <v>-6.0170687139952292</v>
      </c>
      <c r="F15" s="20">
        <f t="shared" si="2"/>
        <v>36.205115908940201</v>
      </c>
      <c r="G15" s="21"/>
    </row>
    <row r="16" spans="2:17" x14ac:dyDescent="0.15">
      <c r="B16" s="19">
        <f>IF(データ入力!E12="","",データ入力!E12)</f>
        <v>42</v>
      </c>
      <c r="C16" s="19">
        <f>IF(データ入力!G12="","",データ入力!G12)</f>
        <v>147</v>
      </c>
      <c r="D16" s="20">
        <f t="shared" si="0"/>
        <v>148.11911238811783</v>
      </c>
      <c r="E16" s="20">
        <f t="shared" si="1"/>
        <v>-1.1191123881178271</v>
      </c>
      <c r="F16" s="20">
        <f t="shared" si="2"/>
        <v>1.252412537238786</v>
      </c>
      <c r="G16" s="21"/>
    </row>
    <row r="17" spans="2:7" x14ac:dyDescent="0.15">
      <c r="B17" s="19">
        <f>IF(データ入力!E13="","",データ入力!E13)</f>
        <v>49</v>
      </c>
      <c r="C17" s="19">
        <f>IF(データ入力!G13="","",データ入力!G13)</f>
        <v>166</v>
      </c>
      <c r="D17" s="20">
        <f t="shared" si="0"/>
        <v>155.56767215099524</v>
      </c>
      <c r="E17" s="20">
        <f t="shared" si="1"/>
        <v>10.432327849004764</v>
      </c>
      <c r="F17" s="20">
        <f t="shared" si="2"/>
        <v>108.83346434912038</v>
      </c>
      <c r="G17" s="21"/>
    </row>
    <row r="18" spans="2:7" x14ac:dyDescent="0.15">
      <c r="B18" s="19" t="str">
        <f>IF(データ入力!E14="","",データ入力!E14)</f>
        <v/>
      </c>
      <c r="C18" s="19" t="str">
        <f>IF(データ入力!G14="","",データ入力!G14)</f>
        <v/>
      </c>
      <c r="D18" s="20" t="str">
        <f t="shared" si="0"/>
        <v/>
      </c>
      <c r="E18" s="20" t="str">
        <f t="shared" si="1"/>
        <v/>
      </c>
      <c r="F18" s="20" t="str">
        <f t="shared" si="2"/>
        <v/>
      </c>
      <c r="G18" s="21"/>
    </row>
    <row r="19" spans="2:7" x14ac:dyDescent="0.15">
      <c r="B19" s="19" t="str">
        <f>IF(データ入力!E15="","",データ入力!E15)</f>
        <v/>
      </c>
      <c r="C19" s="19" t="str">
        <f>IF(データ入力!G15="","",データ入力!G15)</f>
        <v/>
      </c>
      <c r="D19" s="20" t="str">
        <f t="shared" si="0"/>
        <v/>
      </c>
      <c r="E19" s="20" t="str">
        <f t="shared" si="1"/>
        <v/>
      </c>
      <c r="F19" s="20" t="str">
        <f t="shared" si="2"/>
        <v/>
      </c>
      <c r="G19" s="21"/>
    </row>
    <row r="20" spans="2:7" x14ac:dyDescent="0.15">
      <c r="B20" s="19" t="str">
        <f>IF(データ入力!E16="","",データ入力!E16)</f>
        <v/>
      </c>
      <c r="C20" s="19" t="str">
        <f>IF(データ入力!G16="","",データ入力!G16)</f>
        <v/>
      </c>
      <c r="D20" s="20" t="str">
        <f t="shared" si="0"/>
        <v/>
      </c>
      <c r="E20" s="20" t="str">
        <f t="shared" si="1"/>
        <v/>
      </c>
      <c r="F20" s="20" t="str">
        <f t="shared" si="2"/>
        <v/>
      </c>
      <c r="G20" s="21"/>
    </row>
    <row r="21" spans="2:7" x14ac:dyDescent="0.15">
      <c r="B21" s="19" t="str">
        <f>IF(データ入力!E17="","",データ入力!E17)</f>
        <v/>
      </c>
      <c r="C21" s="19" t="str">
        <f>IF(データ入力!G17="","",データ入力!G17)</f>
        <v/>
      </c>
      <c r="D21" s="20" t="str">
        <f t="shared" si="0"/>
        <v/>
      </c>
      <c r="E21" s="20" t="str">
        <f t="shared" si="1"/>
        <v/>
      </c>
      <c r="F21" s="20" t="str">
        <f t="shared" si="2"/>
        <v/>
      </c>
      <c r="G21" s="21"/>
    </row>
    <row r="22" spans="2:7" x14ac:dyDescent="0.15">
      <c r="B22" s="19" t="str">
        <f>IF(データ入力!E18="","",データ入力!E18)</f>
        <v/>
      </c>
      <c r="C22" s="19" t="str">
        <f>IF(データ入力!G18="","",データ入力!G18)</f>
        <v/>
      </c>
      <c r="D22" s="20" t="str">
        <f t="shared" si="0"/>
        <v/>
      </c>
      <c r="E22" s="20" t="str">
        <f t="shared" si="1"/>
        <v/>
      </c>
      <c r="F22" s="20" t="str">
        <f t="shared" si="2"/>
        <v/>
      </c>
      <c r="G22" s="21"/>
    </row>
    <row r="23" spans="2:7" x14ac:dyDescent="0.15">
      <c r="B23" s="19" t="str">
        <f>IF(データ入力!E19="","",データ入力!E19)</f>
        <v/>
      </c>
      <c r="C23" s="19" t="str">
        <f>IF(データ入力!G19="","",データ入力!G19)</f>
        <v/>
      </c>
      <c r="D23" s="20" t="str">
        <f t="shared" si="0"/>
        <v/>
      </c>
      <c r="E23" s="20" t="str">
        <f t="shared" si="1"/>
        <v/>
      </c>
      <c r="F23" s="20" t="str">
        <f t="shared" si="2"/>
        <v/>
      </c>
      <c r="G23" s="21"/>
    </row>
    <row r="24" spans="2:7" x14ac:dyDescent="0.15">
      <c r="B24" s="19" t="str">
        <f>IF(データ入力!E20="","",データ入力!E20)</f>
        <v/>
      </c>
      <c r="C24" s="19" t="str">
        <f>IF(データ入力!G20="","",データ入力!G20)</f>
        <v/>
      </c>
      <c r="D24" s="20" t="str">
        <f t="shared" si="0"/>
        <v/>
      </c>
      <c r="E24" s="20" t="str">
        <f t="shared" si="1"/>
        <v/>
      </c>
      <c r="F24" s="20" t="str">
        <f t="shared" si="2"/>
        <v/>
      </c>
      <c r="G24" s="21"/>
    </row>
    <row r="25" spans="2:7" x14ac:dyDescent="0.15">
      <c r="B25" s="19" t="str">
        <f>IF(データ入力!E21="","",データ入力!E21)</f>
        <v/>
      </c>
      <c r="C25" s="19" t="str">
        <f>IF(データ入力!G21="","",データ入力!G21)</f>
        <v/>
      </c>
      <c r="D25" s="20" t="str">
        <f t="shared" si="0"/>
        <v/>
      </c>
      <c r="E25" s="20" t="str">
        <f t="shared" si="1"/>
        <v/>
      </c>
      <c r="F25" s="20" t="str">
        <f t="shared" si="2"/>
        <v/>
      </c>
      <c r="G25" s="21"/>
    </row>
    <row r="26" spans="2:7" x14ac:dyDescent="0.15">
      <c r="B26" s="19" t="str">
        <f>IF(データ入力!E22="","",データ入力!E22)</f>
        <v/>
      </c>
      <c r="C26" s="19" t="str">
        <f>IF(データ入力!G22="","",データ入力!G22)</f>
        <v/>
      </c>
      <c r="D26" s="20" t="str">
        <f t="shared" si="0"/>
        <v/>
      </c>
      <c r="E26" s="20" t="str">
        <f t="shared" si="1"/>
        <v/>
      </c>
      <c r="F26" s="20" t="str">
        <f t="shared" si="2"/>
        <v/>
      </c>
      <c r="G26" s="21"/>
    </row>
    <row r="27" spans="2:7" x14ac:dyDescent="0.15">
      <c r="B27" s="19" t="str">
        <f>IF(データ入力!E23="","",データ入力!E23)</f>
        <v/>
      </c>
      <c r="C27" s="19" t="str">
        <f>IF(データ入力!G23="","",データ入力!G23)</f>
        <v/>
      </c>
      <c r="D27" s="20" t="str">
        <f t="shared" si="0"/>
        <v/>
      </c>
      <c r="E27" s="20" t="str">
        <f t="shared" si="1"/>
        <v/>
      </c>
      <c r="F27" s="20" t="str">
        <f t="shared" si="2"/>
        <v/>
      </c>
      <c r="G27" s="21"/>
    </row>
    <row r="28" spans="2:7" x14ac:dyDescent="0.15">
      <c r="B28" s="19" t="str">
        <f>IF(データ入力!E24="","",データ入力!E24)</f>
        <v/>
      </c>
      <c r="C28" s="19" t="str">
        <f>IF(データ入力!G24="","",データ入力!G24)</f>
        <v/>
      </c>
      <c r="D28" s="20" t="str">
        <f t="shared" si="0"/>
        <v/>
      </c>
      <c r="E28" s="20" t="str">
        <f t="shared" si="1"/>
        <v/>
      </c>
      <c r="F28" s="20" t="str">
        <f t="shared" si="2"/>
        <v/>
      </c>
      <c r="G28" s="21"/>
    </row>
    <row r="29" spans="2:7" x14ac:dyDescent="0.15">
      <c r="B29" s="19" t="str">
        <f>IF(データ入力!E25="","",データ入力!E25)</f>
        <v/>
      </c>
      <c r="C29" s="19" t="str">
        <f>IF(データ入力!G25="","",データ入力!G25)</f>
        <v/>
      </c>
      <c r="D29" s="20" t="str">
        <f t="shared" si="0"/>
        <v/>
      </c>
      <c r="E29" s="20" t="str">
        <f t="shared" si="1"/>
        <v/>
      </c>
      <c r="F29" s="20" t="str">
        <f t="shared" si="2"/>
        <v/>
      </c>
      <c r="G29" s="21"/>
    </row>
    <row r="30" spans="2:7" x14ac:dyDescent="0.15">
      <c r="B30" s="19" t="str">
        <f>IF(データ入力!E26="","",データ入力!E26)</f>
        <v/>
      </c>
      <c r="C30" s="19" t="str">
        <f>IF(データ入力!G26="","",データ入力!G26)</f>
        <v/>
      </c>
      <c r="D30" s="20" t="str">
        <f t="shared" si="0"/>
        <v/>
      </c>
      <c r="E30" s="20" t="str">
        <f t="shared" si="1"/>
        <v/>
      </c>
      <c r="F30" s="20" t="str">
        <f t="shared" si="2"/>
        <v/>
      </c>
      <c r="G30" s="21"/>
    </row>
    <row r="31" spans="2:7" x14ac:dyDescent="0.15">
      <c r="B31" s="19" t="str">
        <f>IF(データ入力!E27="","",データ入力!E27)</f>
        <v/>
      </c>
      <c r="C31" s="19" t="str">
        <f>IF(データ入力!G27="","",データ入力!G27)</f>
        <v/>
      </c>
      <c r="D31" s="20" t="str">
        <f t="shared" si="0"/>
        <v/>
      </c>
      <c r="E31" s="20" t="str">
        <f t="shared" si="1"/>
        <v/>
      </c>
      <c r="F31" s="20" t="str">
        <f t="shared" si="2"/>
        <v/>
      </c>
      <c r="G31" s="21"/>
    </row>
    <row r="32" spans="2:7" x14ac:dyDescent="0.15">
      <c r="B32" s="19" t="str">
        <f>IF(データ入力!E28="","",データ入力!E28)</f>
        <v/>
      </c>
      <c r="C32" s="19" t="str">
        <f>IF(データ入力!G28="","",データ入力!G28)</f>
        <v/>
      </c>
      <c r="D32" s="20" t="str">
        <f t="shared" si="0"/>
        <v/>
      </c>
      <c r="E32" s="20" t="str">
        <f t="shared" si="1"/>
        <v/>
      </c>
      <c r="F32" s="20" t="str">
        <f t="shared" si="2"/>
        <v/>
      </c>
      <c r="G32" s="21"/>
    </row>
    <row r="33" spans="2:9" x14ac:dyDescent="0.15">
      <c r="B33" s="19" t="str">
        <f>IF(データ入力!E29="","",データ入力!E29)</f>
        <v/>
      </c>
      <c r="C33" s="19" t="str">
        <f>IF(データ入力!G29="","",データ入力!G29)</f>
        <v/>
      </c>
      <c r="D33" s="20" t="str">
        <f t="shared" si="0"/>
        <v/>
      </c>
      <c r="E33" s="20" t="str">
        <f t="shared" si="1"/>
        <v/>
      </c>
      <c r="F33" s="20" t="str">
        <f t="shared" si="2"/>
        <v/>
      </c>
      <c r="G33" s="21"/>
    </row>
    <row r="34" spans="2:9" x14ac:dyDescent="0.15">
      <c r="B34" s="19" t="str">
        <f>IF(データ入力!E30="","",データ入力!E30)</f>
        <v/>
      </c>
      <c r="C34" s="19" t="str">
        <f>IF(データ入力!G30="","",データ入力!G30)</f>
        <v/>
      </c>
      <c r="D34" s="20" t="str">
        <f t="shared" si="0"/>
        <v/>
      </c>
      <c r="E34" s="20" t="str">
        <f t="shared" si="1"/>
        <v/>
      </c>
      <c r="F34" s="20" t="str">
        <f t="shared" si="2"/>
        <v/>
      </c>
      <c r="G34" s="21"/>
      <c r="H34" s="1" t="s">
        <v>37</v>
      </c>
    </row>
    <row r="35" spans="2:9" x14ac:dyDescent="0.15">
      <c r="B35" s="19" t="str">
        <f>IF(データ入力!E31="","",データ入力!E31)</f>
        <v/>
      </c>
      <c r="C35" s="19" t="str">
        <f>IF(データ入力!G31="","",データ入力!G31)</f>
        <v/>
      </c>
      <c r="D35" s="20" t="str">
        <f t="shared" si="0"/>
        <v/>
      </c>
      <c r="E35" s="20" t="str">
        <f t="shared" si="1"/>
        <v/>
      </c>
      <c r="F35" s="20" t="str">
        <f t="shared" si="2"/>
        <v/>
      </c>
      <c r="G35" s="21"/>
      <c r="H35" s="1" t="s">
        <v>35</v>
      </c>
    </row>
    <row r="36" spans="2:9" x14ac:dyDescent="0.15">
      <c r="B36" s="19" t="str">
        <f>IF(データ入力!E32="","",データ入力!E32)</f>
        <v/>
      </c>
      <c r="C36" s="19" t="str">
        <f>IF(データ入力!G32="","",データ入力!G32)</f>
        <v/>
      </c>
      <c r="D36" s="20" t="str">
        <f t="shared" si="0"/>
        <v/>
      </c>
      <c r="E36" s="20" t="str">
        <f t="shared" si="1"/>
        <v/>
      </c>
      <c r="F36" s="20" t="str">
        <f t="shared" si="2"/>
        <v/>
      </c>
      <c r="G36" s="21"/>
      <c r="H36" s="2">
        <v>0</v>
      </c>
      <c r="I36" s="3">
        <f>$H$5</f>
        <v>167.65260491432326</v>
      </c>
    </row>
    <row r="37" spans="2:9" x14ac:dyDescent="0.15">
      <c r="B37" s="19" t="str">
        <f>IF(データ入力!E33="","",データ入力!E33)</f>
        <v/>
      </c>
      <c r="C37" s="19" t="str">
        <f>IF(データ入力!G33="","",データ入力!G33)</f>
        <v/>
      </c>
      <c r="D37" s="20" t="str">
        <f t="shared" si="0"/>
        <v/>
      </c>
      <c r="E37" s="20" t="str">
        <f t="shared" si="1"/>
        <v/>
      </c>
      <c r="F37" s="20" t="str">
        <f t="shared" si="2"/>
        <v/>
      </c>
      <c r="G37" s="21"/>
      <c r="H37" s="2">
        <f>MAX(B10:B109)</f>
        <v>49</v>
      </c>
      <c r="I37" s="3">
        <f>$H$5</f>
        <v>167.65260491432326</v>
      </c>
    </row>
    <row r="38" spans="2:9" x14ac:dyDescent="0.15">
      <c r="B38" s="19" t="str">
        <f>IF(データ入力!E34="","",データ入力!E34)</f>
        <v/>
      </c>
      <c r="C38" s="19" t="str">
        <f>IF(データ入力!G34="","",データ入力!G34)</f>
        <v/>
      </c>
      <c r="D38" s="20" t="str">
        <f t="shared" si="0"/>
        <v/>
      </c>
      <c r="E38" s="20" t="str">
        <f t="shared" si="1"/>
        <v/>
      </c>
      <c r="F38" s="20" t="str">
        <f t="shared" si="2"/>
        <v/>
      </c>
      <c r="G38" s="21"/>
      <c r="H38" s="1" t="s">
        <v>36</v>
      </c>
    </row>
    <row r="39" spans="2:9" x14ac:dyDescent="0.15">
      <c r="B39" s="19" t="str">
        <f>IF(データ入力!E35="","",データ入力!E35)</f>
        <v/>
      </c>
      <c r="C39" s="19" t="str">
        <f>IF(データ入力!G35="","",データ入力!G35)</f>
        <v/>
      </c>
      <c r="D39" s="20" t="str">
        <f t="shared" si="0"/>
        <v/>
      </c>
      <c r="E39" s="20" t="str">
        <f t="shared" si="1"/>
        <v/>
      </c>
      <c r="F39" s="20" t="str">
        <f t="shared" si="2"/>
        <v/>
      </c>
      <c r="G39" s="21"/>
      <c r="H39" s="2">
        <v>0</v>
      </c>
      <c r="I39" s="3">
        <f>$K$5</f>
        <v>174.71166196334741</v>
      </c>
    </row>
    <row r="40" spans="2:9" x14ac:dyDescent="0.15">
      <c r="B40" s="19" t="str">
        <f>IF(データ入力!E36="","",データ入力!E36)</f>
        <v/>
      </c>
      <c r="C40" s="19" t="str">
        <f>IF(データ入力!G36="","",データ入力!G36)</f>
        <v/>
      </c>
      <c r="D40" s="20" t="str">
        <f t="shared" si="0"/>
        <v/>
      </c>
      <c r="E40" s="20" t="str">
        <f t="shared" si="1"/>
        <v/>
      </c>
      <c r="F40" s="20" t="str">
        <f t="shared" si="2"/>
        <v/>
      </c>
      <c r="G40" s="21"/>
      <c r="H40" s="2">
        <f>MAX(B10:B109)</f>
        <v>49</v>
      </c>
      <c r="I40" s="3">
        <f>$K$5</f>
        <v>174.71166196334741</v>
      </c>
    </row>
    <row r="41" spans="2:9" x14ac:dyDescent="0.15">
      <c r="B41" s="19" t="str">
        <f>IF(データ入力!E37="","",データ入力!E37)</f>
        <v/>
      </c>
      <c r="C41" s="19" t="str">
        <f>IF(データ入力!G37="","",データ入力!G37)</f>
        <v/>
      </c>
      <c r="D41" s="20" t="str">
        <f t="shared" si="0"/>
        <v/>
      </c>
      <c r="E41" s="20" t="str">
        <f t="shared" si="1"/>
        <v/>
      </c>
      <c r="F41" s="20" t="str">
        <f t="shared" si="2"/>
        <v/>
      </c>
      <c r="G41" s="21"/>
    </row>
    <row r="42" spans="2:9" x14ac:dyDescent="0.15">
      <c r="B42" s="19" t="str">
        <f>IF(データ入力!E38="","",データ入力!E38)</f>
        <v/>
      </c>
      <c r="C42" s="19" t="str">
        <f>IF(データ入力!G38="","",データ入力!G38)</f>
        <v/>
      </c>
      <c r="D42" s="20" t="str">
        <f t="shared" si="0"/>
        <v/>
      </c>
      <c r="E42" s="20" t="str">
        <f t="shared" si="1"/>
        <v/>
      </c>
      <c r="F42" s="20" t="str">
        <f t="shared" si="2"/>
        <v/>
      </c>
      <c r="G42" s="21"/>
      <c r="H42" s="1" t="s">
        <v>96</v>
      </c>
    </row>
    <row r="43" spans="2:9" x14ac:dyDescent="0.15">
      <c r="B43" s="19" t="str">
        <f>IF(データ入力!E39="","",データ入力!E39)</f>
        <v/>
      </c>
      <c r="C43" s="19" t="str">
        <f>IF(データ入力!G39="","",データ入力!G39)</f>
        <v/>
      </c>
      <c r="D43" s="20" t="str">
        <f t="shared" si="0"/>
        <v/>
      </c>
      <c r="E43" s="20" t="str">
        <f t="shared" si="1"/>
        <v/>
      </c>
      <c r="F43" s="20" t="str">
        <f t="shared" si="2"/>
        <v/>
      </c>
      <c r="G43" s="21"/>
      <c r="H43" s="1">
        <v>0</v>
      </c>
    </row>
    <row r="44" spans="2:9" x14ac:dyDescent="0.15">
      <c r="B44" s="19" t="str">
        <f>IF(データ入力!E40="","",データ入力!E40)</f>
        <v/>
      </c>
      <c r="C44" s="19" t="str">
        <f>IF(データ入力!G40="","",データ入力!G40)</f>
        <v/>
      </c>
      <c r="D44" s="20" t="str">
        <f t="shared" si="0"/>
        <v/>
      </c>
      <c r="E44" s="20" t="str">
        <f t="shared" si="1"/>
        <v/>
      </c>
      <c r="F44" s="20" t="str">
        <f t="shared" si="2"/>
        <v/>
      </c>
      <c r="G44" s="21"/>
      <c r="H44" s="57">
        <f>D3+D5</f>
        <v>0.99999999999999978</v>
      </c>
      <c r="I44" s="1" t="s">
        <v>95</v>
      </c>
    </row>
    <row r="45" spans="2:9" x14ac:dyDescent="0.15">
      <c r="B45" s="19" t="str">
        <f>IF(データ入力!E41="","",データ入力!E41)</f>
        <v/>
      </c>
      <c r="C45" s="19" t="str">
        <f>IF(データ入力!G41="","",データ入力!G41)</f>
        <v/>
      </c>
      <c r="D45" s="20" t="str">
        <f t="shared" si="0"/>
        <v/>
      </c>
      <c r="E45" s="20" t="str">
        <f t="shared" si="1"/>
        <v/>
      </c>
      <c r="F45" s="20" t="str">
        <f t="shared" si="2"/>
        <v/>
      </c>
      <c r="G45" s="21"/>
      <c r="H45" s="1" t="s">
        <v>94</v>
      </c>
    </row>
    <row r="46" spans="2:9" x14ac:dyDescent="0.15">
      <c r="B46" s="19" t="str">
        <f>IF(データ入力!E42="","",データ入力!E42)</f>
        <v/>
      </c>
      <c r="C46" s="19" t="str">
        <f>IF(データ入力!G42="","",データ入力!G42)</f>
        <v/>
      </c>
      <c r="D46" s="20" t="str">
        <f t="shared" si="0"/>
        <v/>
      </c>
      <c r="E46" s="20" t="str">
        <f t="shared" si="1"/>
        <v/>
      </c>
      <c r="F46" s="20" t="str">
        <f t="shared" si="2"/>
        <v/>
      </c>
      <c r="G46" s="21"/>
      <c r="H46" s="55">
        <f>MIN($E$5)</f>
        <v>672.61969752834466</v>
      </c>
    </row>
    <row r="47" spans="2:9" x14ac:dyDescent="0.15">
      <c r="B47" s="19" t="str">
        <f>IF(データ入力!E43="","",データ入力!E43)</f>
        <v/>
      </c>
      <c r="C47" s="19" t="str">
        <f>IF(データ入力!G43="","",データ入力!G43)</f>
        <v/>
      </c>
      <c r="D47" s="20" t="str">
        <f t="shared" si="0"/>
        <v/>
      </c>
      <c r="E47" s="20" t="str">
        <f t="shared" si="1"/>
        <v/>
      </c>
      <c r="F47" s="20" t="str">
        <f t="shared" si="2"/>
        <v/>
      </c>
      <c r="G47" s="21"/>
      <c r="H47" s="1">
        <f>COUNT($D$2:$D$6)</f>
        <v>5</v>
      </c>
    </row>
    <row r="48" spans="2:9" x14ac:dyDescent="0.15">
      <c r="B48" s="19" t="str">
        <f>IF(データ入力!E44="","",データ入力!E44)</f>
        <v/>
      </c>
      <c r="C48" s="19" t="str">
        <f>IF(データ入力!G44="","",データ入力!G44)</f>
        <v/>
      </c>
      <c r="D48" s="20" t="str">
        <f t="shared" si="0"/>
        <v/>
      </c>
      <c r="E48" s="20" t="str">
        <f t="shared" si="1"/>
        <v/>
      </c>
      <c r="F48" s="20" t="str">
        <f t="shared" si="2"/>
        <v/>
      </c>
      <c r="G48" s="21"/>
      <c r="H48" s="1" t="b">
        <f>$D$2&gt;=0</f>
        <v>1</v>
      </c>
    </row>
    <row r="49" spans="2:8" x14ac:dyDescent="0.15">
      <c r="B49" s="19" t="str">
        <f>IF(データ入力!E45="","",データ入力!E45)</f>
        <v/>
      </c>
      <c r="C49" s="19" t="str">
        <f>IF(データ入力!G45="","",データ入力!G45)</f>
        <v/>
      </c>
      <c r="D49" s="20" t="str">
        <f t="shared" si="0"/>
        <v/>
      </c>
      <c r="E49" s="20" t="str">
        <f t="shared" si="1"/>
        <v/>
      </c>
      <c r="F49" s="20" t="str">
        <f t="shared" si="2"/>
        <v/>
      </c>
      <c r="G49" s="21"/>
      <c r="H49" s="1" t="b">
        <f>$D$4&gt;=0</f>
        <v>1</v>
      </c>
    </row>
    <row r="50" spans="2:8" x14ac:dyDescent="0.15">
      <c r="B50" s="19" t="str">
        <f>IF(データ入力!E46="","",データ入力!E46)</f>
        <v/>
      </c>
      <c r="C50" s="19" t="str">
        <f>IF(データ入力!G46="","",データ入力!G46)</f>
        <v/>
      </c>
      <c r="D50" s="20" t="str">
        <f t="shared" si="0"/>
        <v/>
      </c>
      <c r="E50" s="20" t="str">
        <f t="shared" si="1"/>
        <v/>
      </c>
      <c r="F50" s="20" t="str">
        <f t="shared" si="2"/>
        <v/>
      </c>
      <c r="G50" s="21"/>
      <c r="H50" s="1" t="b">
        <f>$D$3&gt;=0</f>
        <v>1</v>
      </c>
    </row>
    <row r="51" spans="2:8" x14ac:dyDescent="0.15">
      <c r="B51" s="19" t="str">
        <f>IF(データ入力!E47="","",データ入力!E47)</f>
        <v/>
      </c>
      <c r="C51" s="19" t="str">
        <f>IF(データ入力!G47="","",データ入力!G47)</f>
        <v/>
      </c>
      <c r="D51" s="20" t="str">
        <f t="shared" si="0"/>
        <v/>
      </c>
      <c r="E51" s="20" t="str">
        <f t="shared" si="1"/>
        <v/>
      </c>
      <c r="F51" s="20" t="str">
        <f t="shared" si="2"/>
        <v/>
      </c>
      <c r="G51" s="21"/>
      <c r="H51" s="1" t="b">
        <f>$D$4&lt;=1</f>
        <v>1</v>
      </c>
    </row>
    <row r="52" spans="2:8" x14ac:dyDescent="0.15">
      <c r="B52" s="19" t="str">
        <f>IF(データ入力!E48="","",データ入力!E48)</f>
        <v/>
      </c>
      <c r="C52" s="19" t="str">
        <f>IF(データ入力!G48="","",データ入力!G48)</f>
        <v/>
      </c>
      <c r="D52" s="20" t="str">
        <f t="shared" si="0"/>
        <v/>
      </c>
      <c r="E52" s="20" t="str">
        <f t="shared" si="1"/>
        <v/>
      </c>
      <c r="F52" s="20" t="str">
        <f t="shared" si="2"/>
        <v/>
      </c>
      <c r="G52" s="21"/>
      <c r="H52" s="1" t="b">
        <f>$D$3&lt;=1</f>
        <v>1</v>
      </c>
    </row>
    <row r="53" spans="2:8" x14ac:dyDescent="0.15">
      <c r="B53" s="19" t="str">
        <f>IF(データ入力!E49="","",データ入力!E49)</f>
        <v/>
      </c>
      <c r="C53" s="19" t="str">
        <f>IF(データ入力!G49="","",データ入力!G49)</f>
        <v/>
      </c>
      <c r="D53" s="20" t="str">
        <f t="shared" si="0"/>
        <v/>
      </c>
      <c r="E53" s="20" t="str">
        <f t="shared" si="1"/>
        <v/>
      </c>
      <c r="F53" s="20" t="str">
        <f t="shared" si="2"/>
        <v/>
      </c>
      <c r="G53" s="21"/>
      <c r="H53" s="1" t="b">
        <f>$H$44=1</f>
        <v>1</v>
      </c>
    </row>
    <row r="54" spans="2:8" x14ac:dyDescent="0.15">
      <c r="B54" s="19" t="str">
        <f>IF(データ入力!E50="","",データ入力!E50)</f>
        <v/>
      </c>
      <c r="C54" s="19" t="str">
        <f>IF(データ入力!G50="","",データ入力!G50)</f>
        <v/>
      </c>
      <c r="D54" s="20" t="str">
        <f t="shared" si="0"/>
        <v/>
      </c>
      <c r="E54" s="20" t="str">
        <f t="shared" si="1"/>
        <v/>
      </c>
      <c r="F54" s="20" t="str">
        <f t="shared" si="2"/>
        <v/>
      </c>
      <c r="G54" s="21"/>
      <c r="H54" s="1" t="b">
        <f>$D$5&gt;=0</f>
        <v>1</v>
      </c>
    </row>
    <row r="55" spans="2:8" x14ac:dyDescent="0.15">
      <c r="B55" s="19" t="str">
        <f>IF(データ入力!E51="","",データ入力!E51)</f>
        <v/>
      </c>
      <c r="C55" s="19" t="str">
        <f>IF(データ入力!G51="","",データ入力!G51)</f>
        <v/>
      </c>
      <c r="D55" s="20" t="str">
        <f t="shared" si="0"/>
        <v/>
      </c>
      <c r="E55" s="20" t="str">
        <f t="shared" si="1"/>
        <v/>
      </c>
      <c r="F55" s="20" t="str">
        <f t="shared" si="2"/>
        <v/>
      </c>
      <c r="G55" s="21"/>
      <c r="H55" s="1" t="b">
        <f>$D$5&lt;=1</f>
        <v>1</v>
      </c>
    </row>
    <row r="56" spans="2:8" x14ac:dyDescent="0.15">
      <c r="B56" s="19" t="str">
        <f>IF(データ入力!E52="","",データ入力!E52)</f>
        <v/>
      </c>
      <c r="C56" s="19" t="str">
        <f>IF(データ入力!G52="","",データ入力!G52)</f>
        <v/>
      </c>
      <c r="D56" s="20" t="str">
        <f t="shared" si="0"/>
        <v/>
      </c>
      <c r="E56" s="20" t="str">
        <f t="shared" si="1"/>
        <v/>
      </c>
      <c r="F56" s="20" t="str">
        <f t="shared" si="2"/>
        <v/>
      </c>
      <c r="G56" s="21"/>
      <c r="H56" s="1" t="b">
        <f>$D$6&gt;=0</f>
        <v>1</v>
      </c>
    </row>
    <row r="57" spans="2:8" x14ac:dyDescent="0.15">
      <c r="B57" s="19" t="str">
        <f>IF(データ入力!E53="","",データ入力!E53)</f>
        <v/>
      </c>
      <c r="C57" s="19" t="str">
        <f>IF(データ入力!G53="","",データ入力!G53)</f>
        <v/>
      </c>
      <c r="D57" s="20" t="str">
        <f t="shared" si="0"/>
        <v/>
      </c>
      <c r="E57" s="20" t="str">
        <f t="shared" si="1"/>
        <v/>
      </c>
      <c r="F57" s="20" t="str">
        <f t="shared" si="2"/>
        <v/>
      </c>
      <c r="G57" s="21"/>
      <c r="H57" s="1" t="b">
        <f>$D$6&lt;=$D$4</f>
        <v>1</v>
      </c>
    </row>
    <row r="58" spans="2:8" x14ac:dyDescent="0.15">
      <c r="B58" s="19" t="str">
        <f>IF(データ入力!E54="","",データ入力!E54)</f>
        <v/>
      </c>
      <c r="C58" s="19" t="str">
        <f>IF(データ入力!G54="","",データ入力!G54)</f>
        <v/>
      </c>
      <c r="D58" s="20" t="str">
        <f t="shared" si="0"/>
        <v/>
      </c>
      <c r="E58" s="20" t="str">
        <f t="shared" si="1"/>
        <v/>
      </c>
      <c r="F58" s="20" t="str">
        <f t="shared" si="2"/>
        <v/>
      </c>
      <c r="G58" s="21"/>
      <c r="H58" s="1">
        <f>{100,200,0.000001,0.05,FALSE,FALSE,FALSE,1,1,1,0.0001,FALSE}</f>
        <v>100</v>
      </c>
    </row>
    <row r="59" spans="2:8" x14ac:dyDescent="0.15">
      <c r="B59" s="19" t="str">
        <f>IF(データ入力!E55="","",データ入力!E55)</f>
        <v/>
      </c>
      <c r="C59" s="19" t="str">
        <f>IF(データ入力!G55="","",データ入力!G55)</f>
        <v/>
      </c>
      <c r="D59" s="20" t="str">
        <f t="shared" si="0"/>
        <v/>
      </c>
      <c r="E59" s="20" t="str">
        <f t="shared" si="1"/>
        <v/>
      </c>
      <c r="F59" s="20" t="str">
        <f t="shared" si="2"/>
        <v/>
      </c>
      <c r="G59" s="21"/>
      <c r="H59" s="1">
        <f>{100,200,1,3,0,FALSE,FALSE,0.075,0,0,TRUE,30}</f>
        <v>100</v>
      </c>
    </row>
    <row r="60" spans="2:8" x14ac:dyDescent="0.15">
      <c r="B60" s="19" t="str">
        <f>IF(データ入力!E56="","",データ入力!E56)</f>
        <v/>
      </c>
      <c r="C60" s="19" t="str">
        <f>IF(データ入力!G56="","",データ入力!G56)</f>
        <v/>
      </c>
      <c r="D60" s="20" t="str">
        <f t="shared" si="0"/>
        <v/>
      </c>
      <c r="E60" s="20" t="str">
        <f t="shared" si="1"/>
        <v/>
      </c>
      <c r="F60" s="20" t="str">
        <f t="shared" si="2"/>
        <v/>
      </c>
      <c r="G60" s="21"/>
    </row>
    <row r="61" spans="2:8" x14ac:dyDescent="0.15">
      <c r="B61" s="19" t="str">
        <f>IF(データ入力!E57="","",データ入力!E57)</f>
        <v/>
      </c>
      <c r="C61" s="19" t="str">
        <f>IF(データ入力!G57="","",データ入力!G57)</f>
        <v/>
      </c>
      <c r="D61" s="20" t="str">
        <f t="shared" si="0"/>
        <v/>
      </c>
      <c r="E61" s="20" t="str">
        <f t="shared" si="1"/>
        <v/>
      </c>
      <c r="F61" s="20" t="str">
        <f t="shared" si="2"/>
        <v/>
      </c>
      <c r="G61" s="21"/>
    </row>
    <row r="62" spans="2:8" x14ac:dyDescent="0.15">
      <c r="B62" s="19" t="str">
        <f>IF(データ入力!E58="","",データ入力!E58)</f>
        <v/>
      </c>
      <c r="C62" s="19" t="str">
        <f>IF(データ入力!G58="","",データ入力!G58)</f>
        <v/>
      </c>
      <c r="D62" s="20" t="str">
        <f t="shared" si="0"/>
        <v/>
      </c>
      <c r="E62" s="20" t="str">
        <f t="shared" si="1"/>
        <v/>
      </c>
      <c r="F62" s="20" t="str">
        <f t="shared" si="2"/>
        <v/>
      </c>
      <c r="G62" s="21"/>
    </row>
    <row r="63" spans="2:8" x14ac:dyDescent="0.15">
      <c r="B63" s="19" t="str">
        <f>IF(データ入力!E59="","",データ入力!E59)</f>
        <v/>
      </c>
      <c r="C63" s="19" t="str">
        <f>IF(データ入力!G59="","",データ入力!G59)</f>
        <v/>
      </c>
      <c r="D63" s="20" t="str">
        <f t="shared" si="0"/>
        <v/>
      </c>
      <c r="E63" s="20" t="str">
        <f t="shared" si="1"/>
        <v/>
      </c>
      <c r="F63" s="20" t="str">
        <f t="shared" si="2"/>
        <v/>
      </c>
      <c r="G63" s="21"/>
    </row>
    <row r="64" spans="2:8" x14ac:dyDescent="0.15">
      <c r="B64" s="19" t="str">
        <f>IF(データ入力!E60="","",データ入力!E60)</f>
        <v/>
      </c>
      <c r="C64" s="19" t="str">
        <f>IF(データ入力!G60="","",データ入力!G60)</f>
        <v/>
      </c>
      <c r="D64" s="20" t="str">
        <f t="shared" si="0"/>
        <v/>
      </c>
      <c r="E64" s="20" t="str">
        <f t="shared" si="1"/>
        <v/>
      </c>
      <c r="F64" s="20" t="str">
        <f t="shared" si="2"/>
        <v/>
      </c>
      <c r="G64" s="21"/>
    </row>
    <row r="65" spans="2:7" x14ac:dyDescent="0.15">
      <c r="B65" s="19" t="str">
        <f>IF(データ入力!E61="","",データ入力!E61)</f>
        <v/>
      </c>
      <c r="C65" s="19" t="str">
        <f>IF(データ入力!G61="","",データ入力!G61)</f>
        <v/>
      </c>
      <c r="D65" s="20" t="str">
        <f t="shared" si="0"/>
        <v/>
      </c>
      <c r="E65" s="20" t="str">
        <f t="shared" si="1"/>
        <v/>
      </c>
      <c r="F65" s="20" t="str">
        <f t="shared" si="2"/>
        <v/>
      </c>
      <c r="G65" s="21"/>
    </row>
    <row r="66" spans="2:7" x14ac:dyDescent="0.15">
      <c r="B66" s="19" t="str">
        <f>IF(データ入力!E62="","",データ入力!E62)</f>
        <v/>
      </c>
      <c r="C66" s="19" t="str">
        <f>IF(データ入力!G62="","",データ入力!G62)</f>
        <v/>
      </c>
      <c r="D66" s="20" t="str">
        <f t="shared" si="0"/>
        <v/>
      </c>
      <c r="E66" s="20" t="str">
        <f t="shared" si="1"/>
        <v/>
      </c>
      <c r="F66" s="20" t="str">
        <f t="shared" si="2"/>
        <v/>
      </c>
      <c r="G66" s="21"/>
    </row>
    <row r="67" spans="2:7" x14ac:dyDescent="0.15">
      <c r="B67" s="19" t="str">
        <f>IF(データ入力!E63="","",データ入力!E63)</f>
        <v/>
      </c>
      <c r="C67" s="19" t="str">
        <f>IF(データ入力!G63="","",データ入力!G63)</f>
        <v/>
      </c>
      <c r="D67" s="20" t="str">
        <f t="shared" si="0"/>
        <v/>
      </c>
      <c r="E67" s="20" t="str">
        <f t="shared" si="1"/>
        <v/>
      </c>
      <c r="F67" s="20" t="str">
        <f t="shared" si="2"/>
        <v/>
      </c>
      <c r="G67" s="21"/>
    </row>
    <row r="68" spans="2:7" x14ac:dyDescent="0.15">
      <c r="B68" s="19" t="str">
        <f>IF(データ入力!E64="","",データ入力!E64)</f>
        <v/>
      </c>
      <c r="C68" s="19" t="str">
        <f>IF(データ入力!G64="","",データ入力!G64)</f>
        <v/>
      </c>
      <c r="D68" s="20" t="str">
        <f t="shared" si="0"/>
        <v/>
      </c>
      <c r="E68" s="20" t="str">
        <f t="shared" si="1"/>
        <v/>
      </c>
      <c r="F68" s="20" t="str">
        <f t="shared" si="2"/>
        <v/>
      </c>
      <c r="G68" s="21"/>
    </row>
    <row r="69" spans="2:7" x14ac:dyDescent="0.15">
      <c r="B69" s="19" t="str">
        <f>IF(データ入力!E65="","",データ入力!E65)</f>
        <v/>
      </c>
      <c r="C69" s="19" t="str">
        <f>IF(データ入力!G65="","",データ入力!G65)</f>
        <v/>
      </c>
      <c r="D69" s="20" t="str">
        <f t="shared" si="0"/>
        <v/>
      </c>
      <c r="E69" s="20" t="str">
        <f t="shared" si="1"/>
        <v/>
      </c>
      <c r="F69" s="20" t="str">
        <f t="shared" si="2"/>
        <v/>
      </c>
      <c r="G69" s="21"/>
    </row>
    <row r="70" spans="2:7" x14ac:dyDescent="0.15">
      <c r="B70" s="19" t="str">
        <f>IF(データ入力!E66="","",データ入力!E66)</f>
        <v/>
      </c>
      <c r="C70" s="19" t="str">
        <f>IF(データ入力!G66="","",データ入力!G66)</f>
        <v/>
      </c>
      <c r="D70" s="20" t="str">
        <f t="shared" si="0"/>
        <v/>
      </c>
      <c r="E70" s="20" t="str">
        <f t="shared" si="1"/>
        <v/>
      </c>
      <c r="F70" s="20" t="str">
        <f t="shared" si="2"/>
        <v/>
      </c>
      <c r="G70" s="21"/>
    </row>
    <row r="71" spans="2:7" x14ac:dyDescent="0.15">
      <c r="B71" s="19" t="str">
        <f>IF(データ入力!E67="","",データ入力!E67)</f>
        <v/>
      </c>
      <c r="C71" s="19" t="str">
        <f>IF(データ入力!G67="","",データ入力!G67)</f>
        <v/>
      </c>
      <c r="D71" s="20" t="str">
        <f t="shared" si="0"/>
        <v/>
      </c>
      <c r="E71" s="20" t="str">
        <f t="shared" si="1"/>
        <v/>
      </c>
      <c r="F71" s="20" t="str">
        <f t="shared" si="2"/>
        <v/>
      </c>
      <c r="G71" s="21"/>
    </row>
    <row r="72" spans="2:7" x14ac:dyDescent="0.15">
      <c r="B72" s="19" t="str">
        <f>IF(データ入力!E68="","",データ入力!E68)</f>
        <v/>
      </c>
      <c r="C72" s="19" t="str">
        <f>IF(データ入力!G68="","",データ入力!G68)</f>
        <v/>
      </c>
      <c r="D72" s="20" t="str">
        <f t="shared" si="0"/>
        <v/>
      </c>
      <c r="E72" s="20" t="str">
        <f t="shared" si="1"/>
        <v/>
      </c>
      <c r="F72" s="20" t="str">
        <f t="shared" si="2"/>
        <v/>
      </c>
      <c r="G72" s="21"/>
    </row>
    <row r="73" spans="2:7" x14ac:dyDescent="0.15">
      <c r="B73" s="19" t="str">
        <f>IF(データ入力!E69="","",データ入力!E69)</f>
        <v/>
      </c>
      <c r="C73" s="19" t="str">
        <f>IF(データ入力!G69="","",データ入力!G69)</f>
        <v/>
      </c>
      <c r="D73" s="20" t="str">
        <f t="shared" si="0"/>
        <v/>
      </c>
      <c r="E73" s="20" t="str">
        <f t="shared" si="1"/>
        <v/>
      </c>
      <c r="F73" s="20" t="str">
        <f t="shared" si="2"/>
        <v/>
      </c>
      <c r="G73" s="21"/>
    </row>
    <row r="74" spans="2:7" x14ac:dyDescent="0.15">
      <c r="B74" s="19" t="str">
        <f>IF(データ入力!E70="","",データ入力!E70)</f>
        <v/>
      </c>
      <c r="C74" s="19" t="str">
        <f>IF(データ入力!G70="","",データ入力!G70)</f>
        <v/>
      </c>
      <c r="D74" s="20" t="str">
        <f t="shared" si="0"/>
        <v/>
      </c>
      <c r="E74" s="20" t="str">
        <f t="shared" si="1"/>
        <v/>
      </c>
      <c r="F74" s="20" t="str">
        <f t="shared" si="2"/>
        <v/>
      </c>
      <c r="G74" s="21"/>
    </row>
    <row r="75" spans="2:7" x14ac:dyDescent="0.15">
      <c r="B75" s="19" t="str">
        <f>IF(データ入力!E71="","",データ入力!E71)</f>
        <v/>
      </c>
      <c r="C75" s="19" t="str">
        <f>IF(データ入力!G71="","",データ入力!G71)</f>
        <v/>
      </c>
      <c r="D75" s="20" t="str">
        <f t="shared" ref="D75:D109" si="3">IF(B75="","",IF(B75=0,0,$D$2*($D$3*(1-EXP(-$D$4*B75))+$D$5*(1-EXP(-$D$6*B75)))))</f>
        <v/>
      </c>
      <c r="E75" s="20" t="str">
        <f t="shared" ref="E75:E109" si="4">IF(B75="","",C75-D75)</f>
        <v/>
      </c>
      <c r="F75" s="20" t="str">
        <f t="shared" ref="F75:F109" si="5">IF(B75="","",E75^2)</f>
        <v/>
      </c>
      <c r="G75" s="21"/>
    </row>
    <row r="76" spans="2:7" x14ac:dyDescent="0.15">
      <c r="B76" s="19" t="str">
        <f>IF(データ入力!E72="","",データ入力!E72)</f>
        <v/>
      </c>
      <c r="C76" s="19" t="str">
        <f>IF(データ入力!G72="","",データ入力!G72)</f>
        <v/>
      </c>
      <c r="D76" s="20" t="str">
        <f t="shared" si="3"/>
        <v/>
      </c>
      <c r="E76" s="20" t="str">
        <f t="shared" si="4"/>
        <v/>
      </c>
      <c r="F76" s="20" t="str">
        <f t="shared" si="5"/>
        <v/>
      </c>
      <c r="G76" s="21"/>
    </row>
    <row r="77" spans="2:7" x14ac:dyDescent="0.15">
      <c r="B77" s="19" t="str">
        <f>IF(データ入力!E73="","",データ入力!E73)</f>
        <v/>
      </c>
      <c r="C77" s="19" t="str">
        <f>IF(データ入力!G73="","",データ入力!G73)</f>
        <v/>
      </c>
      <c r="D77" s="20" t="str">
        <f t="shared" si="3"/>
        <v/>
      </c>
      <c r="E77" s="20" t="str">
        <f t="shared" si="4"/>
        <v/>
      </c>
      <c r="F77" s="20" t="str">
        <f t="shared" si="5"/>
        <v/>
      </c>
      <c r="G77" s="21"/>
    </row>
    <row r="78" spans="2:7" x14ac:dyDescent="0.15">
      <c r="B78" s="19" t="str">
        <f>IF(データ入力!E74="","",データ入力!E74)</f>
        <v/>
      </c>
      <c r="C78" s="19" t="str">
        <f>IF(データ入力!G74="","",データ入力!G74)</f>
        <v/>
      </c>
      <c r="D78" s="20" t="str">
        <f t="shared" si="3"/>
        <v/>
      </c>
      <c r="E78" s="20" t="str">
        <f t="shared" si="4"/>
        <v/>
      </c>
      <c r="F78" s="20" t="str">
        <f t="shared" si="5"/>
        <v/>
      </c>
      <c r="G78" s="21"/>
    </row>
    <row r="79" spans="2:7" x14ac:dyDescent="0.15">
      <c r="B79" s="19" t="str">
        <f>IF(データ入力!E75="","",データ入力!E75)</f>
        <v/>
      </c>
      <c r="C79" s="19" t="str">
        <f>IF(データ入力!G75="","",データ入力!G75)</f>
        <v/>
      </c>
      <c r="D79" s="20" t="str">
        <f t="shared" si="3"/>
        <v/>
      </c>
      <c r="E79" s="20" t="str">
        <f t="shared" si="4"/>
        <v/>
      </c>
      <c r="F79" s="20" t="str">
        <f t="shared" si="5"/>
        <v/>
      </c>
      <c r="G79" s="21"/>
    </row>
    <row r="80" spans="2:7" x14ac:dyDescent="0.15">
      <c r="B80" s="19"/>
      <c r="C80" s="19" t="str">
        <f>IF(データ入力!G76="","",データ入力!G76)</f>
        <v/>
      </c>
      <c r="D80" s="20" t="str">
        <f t="shared" si="3"/>
        <v/>
      </c>
      <c r="E80" s="20" t="str">
        <f t="shared" si="4"/>
        <v/>
      </c>
      <c r="F80" s="20" t="str">
        <f t="shared" si="5"/>
        <v/>
      </c>
      <c r="G80" s="21"/>
    </row>
    <row r="81" spans="2:7" x14ac:dyDescent="0.15">
      <c r="B81" s="19" t="str">
        <f>IF(データ入力!E77="","",データ入力!E77)</f>
        <v/>
      </c>
      <c r="C81" s="19" t="str">
        <f>IF(データ入力!G77="","",データ入力!G77)</f>
        <v/>
      </c>
      <c r="D81" s="20" t="str">
        <f t="shared" si="3"/>
        <v/>
      </c>
      <c r="E81" s="20" t="str">
        <f t="shared" si="4"/>
        <v/>
      </c>
      <c r="F81" s="20" t="str">
        <f t="shared" si="5"/>
        <v/>
      </c>
      <c r="G81" s="21"/>
    </row>
    <row r="82" spans="2:7" x14ac:dyDescent="0.15">
      <c r="B82" s="19" t="str">
        <f>IF(データ入力!E78="","",データ入力!E78)</f>
        <v/>
      </c>
      <c r="C82" s="19" t="str">
        <f>IF(データ入力!G78="","",データ入力!G78)</f>
        <v/>
      </c>
      <c r="D82" s="20" t="str">
        <f t="shared" si="3"/>
        <v/>
      </c>
      <c r="E82" s="20" t="str">
        <f t="shared" si="4"/>
        <v/>
      </c>
      <c r="F82" s="20" t="str">
        <f t="shared" si="5"/>
        <v/>
      </c>
      <c r="G82" s="21"/>
    </row>
    <row r="83" spans="2:7" x14ac:dyDescent="0.15">
      <c r="B83" s="19" t="str">
        <f>IF(データ入力!E79="","",データ入力!E79)</f>
        <v/>
      </c>
      <c r="C83" s="19" t="str">
        <f>IF(データ入力!G79="","",データ入力!G79)</f>
        <v/>
      </c>
      <c r="D83" s="20" t="str">
        <f t="shared" si="3"/>
        <v/>
      </c>
      <c r="E83" s="20" t="str">
        <f t="shared" si="4"/>
        <v/>
      </c>
      <c r="F83" s="20" t="str">
        <f t="shared" si="5"/>
        <v/>
      </c>
      <c r="G83" s="21"/>
    </row>
    <row r="84" spans="2:7" x14ac:dyDescent="0.15">
      <c r="B84" s="19" t="str">
        <f>IF(データ入力!E80="","",データ入力!E80)</f>
        <v/>
      </c>
      <c r="C84" s="19" t="str">
        <f>IF(データ入力!G80="","",データ入力!G80)</f>
        <v/>
      </c>
      <c r="D84" s="20" t="str">
        <f t="shared" si="3"/>
        <v/>
      </c>
      <c r="E84" s="20" t="str">
        <f t="shared" si="4"/>
        <v/>
      </c>
      <c r="F84" s="20" t="str">
        <f t="shared" si="5"/>
        <v/>
      </c>
      <c r="G84" s="21"/>
    </row>
    <row r="85" spans="2:7" x14ac:dyDescent="0.15">
      <c r="B85" s="19" t="str">
        <f>IF(データ入力!E81="","",データ入力!E81)</f>
        <v/>
      </c>
      <c r="C85" s="19" t="str">
        <f>IF(データ入力!G81="","",データ入力!G81)</f>
        <v/>
      </c>
      <c r="D85" s="20" t="str">
        <f t="shared" si="3"/>
        <v/>
      </c>
      <c r="E85" s="20" t="str">
        <f t="shared" si="4"/>
        <v/>
      </c>
      <c r="F85" s="20" t="str">
        <f t="shared" si="5"/>
        <v/>
      </c>
      <c r="G85" s="21"/>
    </row>
    <row r="86" spans="2:7" x14ac:dyDescent="0.15">
      <c r="B86" s="19" t="str">
        <f>IF(データ入力!E82="","",データ入力!E82)</f>
        <v/>
      </c>
      <c r="C86" s="19" t="str">
        <f>IF(データ入力!G82="","",データ入力!G82)</f>
        <v/>
      </c>
      <c r="D86" s="20" t="str">
        <f t="shared" si="3"/>
        <v/>
      </c>
      <c r="E86" s="20" t="str">
        <f t="shared" si="4"/>
        <v/>
      </c>
      <c r="F86" s="20" t="str">
        <f t="shared" si="5"/>
        <v/>
      </c>
      <c r="G86" s="21"/>
    </row>
    <row r="87" spans="2:7" x14ac:dyDescent="0.15">
      <c r="B87" s="19" t="str">
        <f>IF(データ入力!E83="","",データ入力!E83)</f>
        <v/>
      </c>
      <c r="C87" s="19" t="str">
        <f>IF(データ入力!G83="","",データ入力!G83)</f>
        <v/>
      </c>
      <c r="D87" s="20" t="str">
        <f t="shared" si="3"/>
        <v/>
      </c>
      <c r="E87" s="20" t="str">
        <f t="shared" si="4"/>
        <v/>
      </c>
      <c r="F87" s="20" t="str">
        <f t="shared" si="5"/>
        <v/>
      </c>
      <c r="G87" s="21"/>
    </row>
    <row r="88" spans="2:7" x14ac:dyDescent="0.15">
      <c r="B88" s="19" t="str">
        <f>IF(データ入力!E84="","",データ入力!E84)</f>
        <v/>
      </c>
      <c r="C88" s="19" t="str">
        <f>IF(データ入力!G84="","",データ入力!G84)</f>
        <v/>
      </c>
      <c r="D88" s="20" t="str">
        <f t="shared" si="3"/>
        <v/>
      </c>
      <c r="E88" s="20" t="str">
        <f t="shared" si="4"/>
        <v/>
      </c>
      <c r="F88" s="20" t="str">
        <f t="shared" si="5"/>
        <v/>
      </c>
      <c r="G88" s="21"/>
    </row>
    <row r="89" spans="2:7" x14ac:dyDescent="0.15">
      <c r="B89" s="19" t="str">
        <f>IF(データ入力!E85="","",データ入力!E85)</f>
        <v/>
      </c>
      <c r="C89" s="19" t="str">
        <f>IF(データ入力!G85="","",データ入力!G85)</f>
        <v/>
      </c>
      <c r="D89" s="20" t="str">
        <f t="shared" si="3"/>
        <v/>
      </c>
      <c r="E89" s="20" t="str">
        <f t="shared" si="4"/>
        <v/>
      </c>
      <c r="F89" s="20" t="str">
        <f t="shared" si="5"/>
        <v/>
      </c>
      <c r="G89" s="21"/>
    </row>
    <row r="90" spans="2:7" x14ac:dyDescent="0.15">
      <c r="B90" s="19" t="str">
        <f>IF(データ入力!E86="","",データ入力!E86)</f>
        <v/>
      </c>
      <c r="C90" s="19" t="str">
        <f>IF(データ入力!G86="","",データ入力!G86)</f>
        <v/>
      </c>
      <c r="D90" s="20" t="str">
        <f t="shared" si="3"/>
        <v/>
      </c>
      <c r="E90" s="20" t="str">
        <f t="shared" si="4"/>
        <v/>
      </c>
      <c r="F90" s="20" t="str">
        <f t="shared" si="5"/>
        <v/>
      </c>
      <c r="G90" s="21"/>
    </row>
    <row r="91" spans="2:7" x14ac:dyDescent="0.15">
      <c r="B91" s="19" t="str">
        <f>IF(データ入力!E87="","",データ入力!E87)</f>
        <v/>
      </c>
      <c r="C91" s="19" t="str">
        <f>IF(データ入力!G87="","",データ入力!G87)</f>
        <v/>
      </c>
      <c r="D91" s="20" t="str">
        <f t="shared" si="3"/>
        <v/>
      </c>
      <c r="E91" s="20" t="str">
        <f t="shared" si="4"/>
        <v/>
      </c>
      <c r="F91" s="20" t="str">
        <f t="shared" si="5"/>
        <v/>
      </c>
      <c r="G91" s="21"/>
    </row>
    <row r="92" spans="2:7" x14ac:dyDescent="0.15">
      <c r="B92" s="19" t="str">
        <f>IF(データ入力!E88="","",データ入力!E88)</f>
        <v/>
      </c>
      <c r="C92" s="19" t="str">
        <f>IF(データ入力!G88="","",データ入力!G88)</f>
        <v/>
      </c>
      <c r="D92" s="20" t="str">
        <f t="shared" si="3"/>
        <v/>
      </c>
      <c r="E92" s="20" t="str">
        <f t="shared" si="4"/>
        <v/>
      </c>
      <c r="F92" s="20" t="str">
        <f t="shared" si="5"/>
        <v/>
      </c>
      <c r="G92" s="21"/>
    </row>
    <row r="93" spans="2:7" x14ac:dyDescent="0.15">
      <c r="B93" s="19" t="str">
        <f>IF(データ入力!E89="","",データ入力!E89)</f>
        <v/>
      </c>
      <c r="C93" s="19" t="str">
        <f>IF(データ入力!G89="","",データ入力!G89)</f>
        <v/>
      </c>
      <c r="D93" s="20" t="str">
        <f t="shared" si="3"/>
        <v/>
      </c>
      <c r="E93" s="20" t="str">
        <f t="shared" si="4"/>
        <v/>
      </c>
      <c r="F93" s="20" t="str">
        <f t="shared" si="5"/>
        <v/>
      </c>
      <c r="G93" s="21"/>
    </row>
    <row r="94" spans="2:7" x14ac:dyDescent="0.15">
      <c r="B94" s="19" t="str">
        <f>IF(データ入力!E90="","",データ入力!E90)</f>
        <v/>
      </c>
      <c r="C94" s="19" t="str">
        <f>IF(データ入力!G90="","",データ入力!G90)</f>
        <v/>
      </c>
      <c r="D94" s="20" t="str">
        <f t="shared" si="3"/>
        <v/>
      </c>
      <c r="E94" s="20" t="str">
        <f t="shared" si="4"/>
        <v/>
      </c>
      <c r="F94" s="20" t="str">
        <f t="shared" si="5"/>
        <v/>
      </c>
      <c r="G94" s="21"/>
    </row>
    <row r="95" spans="2:7" x14ac:dyDescent="0.15">
      <c r="B95" s="19" t="str">
        <f>IF(データ入力!E91="","",データ入力!E91)</f>
        <v/>
      </c>
      <c r="C95" s="19" t="str">
        <f>IF(データ入力!G91="","",データ入力!G91)</f>
        <v/>
      </c>
      <c r="D95" s="20" t="str">
        <f t="shared" si="3"/>
        <v/>
      </c>
      <c r="E95" s="20" t="str">
        <f t="shared" si="4"/>
        <v/>
      </c>
      <c r="F95" s="20" t="str">
        <f t="shared" si="5"/>
        <v/>
      </c>
      <c r="G95" s="21"/>
    </row>
    <row r="96" spans="2:7" x14ac:dyDescent="0.15">
      <c r="B96" s="19" t="str">
        <f>IF(データ入力!E92="","",データ入力!E92)</f>
        <v/>
      </c>
      <c r="C96" s="19" t="str">
        <f>IF(データ入力!G92="","",データ入力!G92)</f>
        <v/>
      </c>
      <c r="D96" s="20" t="str">
        <f t="shared" si="3"/>
        <v/>
      </c>
      <c r="E96" s="20" t="str">
        <f t="shared" si="4"/>
        <v/>
      </c>
      <c r="F96" s="20" t="str">
        <f t="shared" si="5"/>
        <v/>
      </c>
      <c r="G96" s="21"/>
    </row>
    <row r="97" spans="2:7" x14ac:dyDescent="0.15">
      <c r="B97" s="19" t="str">
        <f>IF(データ入力!E93="","",データ入力!E93)</f>
        <v/>
      </c>
      <c r="C97" s="19" t="str">
        <f>IF(データ入力!G93="","",データ入力!G93)</f>
        <v/>
      </c>
      <c r="D97" s="20" t="str">
        <f t="shared" si="3"/>
        <v/>
      </c>
      <c r="E97" s="20" t="str">
        <f t="shared" si="4"/>
        <v/>
      </c>
      <c r="F97" s="20" t="str">
        <f t="shared" si="5"/>
        <v/>
      </c>
      <c r="G97" s="21"/>
    </row>
    <row r="98" spans="2:7" x14ac:dyDescent="0.15">
      <c r="B98" s="19" t="str">
        <f>IF(データ入力!E94="","",データ入力!E94)</f>
        <v/>
      </c>
      <c r="C98" s="19" t="str">
        <f>IF(データ入力!G94="","",データ入力!G94)</f>
        <v/>
      </c>
      <c r="D98" s="20" t="str">
        <f t="shared" si="3"/>
        <v/>
      </c>
      <c r="E98" s="20" t="str">
        <f t="shared" si="4"/>
        <v/>
      </c>
      <c r="F98" s="20" t="str">
        <f t="shared" si="5"/>
        <v/>
      </c>
      <c r="G98" s="21"/>
    </row>
    <row r="99" spans="2:7" x14ac:dyDescent="0.15">
      <c r="B99" s="19" t="str">
        <f>IF(データ入力!E95="","",データ入力!E95)</f>
        <v/>
      </c>
      <c r="C99" s="19" t="str">
        <f>IF(データ入力!G95="","",データ入力!G95)</f>
        <v/>
      </c>
      <c r="D99" s="20" t="str">
        <f t="shared" si="3"/>
        <v/>
      </c>
      <c r="E99" s="20" t="str">
        <f t="shared" si="4"/>
        <v/>
      </c>
      <c r="F99" s="20" t="str">
        <f t="shared" si="5"/>
        <v/>
      </c>
      <c r="G99" s="21"/>
    </row>
    <row r="100" spans="2:7" x14ac:dyDescent="0.15">
      <c r="B100" s="19" t="str">
        <f>IF(データ入力!E96="","",データ入力!E96)</f>
        <v/>
      </c>
      <c r="C100" s="19" t="str">
        <f>IF(データ入力!G96="","",データ入力!G96)</f>
        <v/>
      </c>
      <c r="D100" s="20" t="str">
        <f t="shared" si="3"/>
        <v/>
      </c>
      <c r="E100" s="20" t="str">
        <f t="shared" si="4"/>
        <v/>
      </c>
      <c r="F100" s="20" t="str">
        <f t="shared" si="5"/>
        <v/>
      </c>
      <c r="G100" s="21"/>
    </row>
    <row r="101" spans="2:7" x14ac:dyDescent="0.15">
      <c r="B101" s="19" t="str">
        <f>IF(データ入力!E97="","",データ入力!E97)</f>
        <v/>
      </c>
      <c r="C101" s="19" t="str">
        <f>IF(データ入力!G97="","",データ入力!G97)</f>
        <v/>
      </c>
      <c r="D101" s="20" t="str">
        <f t="shared" si="3"/>
        <v/>
      </c>
      <c r="E101" s="20" t="str">
        <f t="shared" si="4"/>
        <v/>
      </c>
      <c r="F101" s="20" t="str">
        <f t="shared" si="5"/>
        <v/>
      </c>
      <c r="G101" s="21"/>
    </row>
    <row r="102" spans="2:7" x14ac:dyDescent="0.15">
      <c r="B102" s="19" t="str">
        <f>IF(データ入力!E98="","",データ入力!E98)</f>
        <v/>
      </c>
      <c r="C102" s="19" t="str">
        <f>IF(データ入力!G98="","",データ入力!G98)</f>
        <v/>
      </c>
      <c r="D102" s="20" t="str">
        <f t="shared" si="3"/>
        <v/>
      </c>
      <c r="E102" s="20" t="str">
        <f t="shared" si="4"/>
        <v/>
      </c>
      <c r="F102" s="20" t="str">
        <f t="shared" si="5"/>
        <v/>
      </c>
      <c r="G102" s="21"/>
    </row>
    <row r="103" spans="2:7" x14ac:dyDescent="0.15">
      <c r="B103" s="19" t="str">
        <f>IF(データ入力!E99="","",データ入力!E99)</f>
        <v/>
      </c>
      <c r="C103" s="19" t="str">
        <f>IF(データ入力!G99="","",データ入力!G99)</f>
        <v/>
      </c>
      <c r="D103" s="20" t="str">
        <f t="shared" si="3"/>
        <v/>
      </c>
      <c r="E103" s="20" t="str">
        <f t="shared" si="4"/>
        <v/>
      </c>
      <c r="F103" s="20" t="str">
        <f t="shared" si="5"/>
        <v/>
      </c>
      <c r="G103" s="21"/>
    </row>
    <row r="104" spans="2:7" x14ac:dyDescent="0.15">
      <c r="B104" s="19" t="str">
        <f>IF(データ入力!E100="","",データ入力!E100)</f>
        <v/>
      </c>
      <c r="C104" s="19" t="str">
        <f>IF(データ入力!G100="","",データ入力!G100)</f>
        <v/>
      </c>
      <c r="D104" s="20" t="str">
        <f t="shared" si="3"/>
        <v/>
      </c>
      <c r="E104" s="20" t="str">
        <f t="shared" si="4"/>
        <v/>
      </c>
      <c r="F104" s="20" t="str">
        <f t="shared" si="5"/>
        <v/>
      </c>
      <c r="G104" s="21"/>
    </row>
    <row r="105" spans="2:7" x14ac:dyDescent="0.15">
      <c r="B105" s="19" t="str">
        <f>IF(データ入力!E101="","",データ入力!E101)</f>
        <v/>
      </c>
      <c r="C105" s="19" t="str">
        <f>IF(データ入力!G101="","",データ入力!G101)</f>
        <v/>
      </c>
      <c r="D105" s="20" t="str">
        <f t="shared" si="3"/>
        <v/>
      </c>
      <c r="E105" s="20" t="str">
        <f t="shared" si="4"/>
        <v/>
      </c>
      <c r="F105" s="20" t="str">
        <f t="shared" si="5"/>
        <v/>
      </c>
      <c r="G105" s="21"/>
    </row>
    <row r="106" spans="2:7" x14ac:dyDescent="0.15">
      <c r="B106" s="19" t="str">
        <f>IF(データ入力!E102="","",データ入力!E102)</f>
        <v/>
      </c>
      <c r="C106" s="19" t="str">
        <f>IF(データ入力!G102="","",データ入力!G102)</f>
        <v/>
      </c>
      <c r="D106" s="20" t="str">
        <f t="shared" si="3"/>
        <v/>
      </c>
      <c r="E106" s="20" t="str">
        <f t="shared" si="4"/>
        <v/>
      </c>
      <c r="F106" s="20" t="str">
        <f t="shared" si="5"/>
        <v/>
      </c>
      <c r="G106" s="21"/>
    </row>
    <row r="107" spans="2:7" x14ac:dyDescent="0.15">
      <c r="B107" s="19" t="str">
        <f>IF(データ入力!E103="","",データ入力!E103)</f>
        <v/>
      </c>
      <c r="C107" s="19" t="str">
        <f>IF(データ入力!G103="","",データ入力!G103)</f>
        <v/>
      </c>
      <c r="D107" s="20" t="str">
        <f t="shared" si="3"/>
        <v/>
      </c>
      <c r="E107" s="20" t="str">
        <f t="shared" si="4"/>
        <v/>
      </c>
      <c r="F107" s="20" t="str">
        <f t="shared" si="5"/>
        <v/>
      </c>
      <c r="G107" s="21"/>
    </row>
    <row r="108" spans="2:7" x14ac:dyDescent="0.15">
      <c r="B108" s="19" t="str">
        <f>IF(データ入力!E104="","",データ入力!E104)</f>
        <v/>
      </c>
      <c r="C108" s="19" t="str">
        <f>IF(データ入力!G104="","",データ入力!G104)</f>
        <v/>
      </c>
      <c r="D108" s="20" t="str">
        <f t="shared" si="3"/>
        <v/>
      </c>
      <c r="E108" s="20" t="str">
        <f t="shared" si="4"/>
        <v/>
      </c>
      <c r="F108" s="20" t="str">
        <f t="shared" si="5"/>
        <v/>
      </c>
      <c r="G108" s="21"/>
    </row>
    <row r="109" spans="2:7" x14ac:dyDescent="0.15">
      <c r="B109" s="19" t="str">
        <f>IF(データ入力!E105="","",データ入力!E105)</f>
        <v/>
      </c>
      <c r="C109" s="19" t="str">
        <f>IF(データ入力!G105="","",データ入力!G105)</f>
        <v/>
      </c>
      <c r="D109" s="20" t="str">
        <f t="shared" si="3"/>
        <v/>
      </c>
      <c r="E109" s="20" t="str">
        <f t="shared" si="4"/>
        <v/>
      </c>
      <c r="F109" s="20" t="str">
        <f t="shared" si="5"/>
        <v/>
      </c>
      <c r="G109" s="21"/>
    </row>
  </sheetData>
  <scenarios current="0">
    <scenario name="srgm_test" count="3" user="Tomi" comment="作成者 : Tomi 日付 : 8/19/2010">
      <inputCells r="C4" val="85.2303964347601"/>
      <inputCells r="C5" val="12.4553706530314"/>
      <inputCells r="C6" val="0.986959959300145"/>
    </scenario>
  </scenarios>
  <mergeCells count="2">
    <mergeCell ref="E4:F4"/>
    <mergeCell ref="E5:F5"/>
  </mergeCells>
  <phoneticPr fontId="2"/>
  <pageMargins left="0.75" right="0.75" top="1" bottom="1"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20481" r:id="rId4" name="CommandButton1">
          <controlPr defaultSize="0" autoLine="0" r:id="rId5">
            <anchor moveWithCells="1">
              <from>
                <xdr:col>6</xdr:col>
                <xdr:colOff>114300</xdr:colOff>
                <xdr:row>5</xdr:row>
                <xdr:rowOff>57150</xdr:rowOff>
              </from>
              <to>
                <xdr:col>6</xdr:col>
                <xdr:colOff>885825</xdr:colOff>
                <xdr:row>6</xdr:row>
                <xdr:rowOff>142875</xdr:rowOff>
              </to>
            </anchor>
          </controlPr>
        </control>
      </mc:Choice>
      <mc:Fallback>
        <control shapeId="20481" r:id="rId4" name="CommandButton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F3E71C9693725B4EB39FDA9808B9B300" ma:contentTypeVersion="8" ma:contentTypeDescription="新しいドキュメントを作成します。" ma:contentTypeScope="" ma:versionID="5af4e17561fc447540ab44a231e57c8f">
  <xsd:schema xmlns:xsd="http://www.w3.org/2001/XMLSchema" xmlns:xs="http://www.w3.org/2001/XMLSchema" xmlns:p="http://schemas.microsoft.com/office/2006/metadata/properties" xmlns:ns2="0c358ca6-52be-4b56-b6a2-b20e9c7c30fa" targetNamespace="http://schemas.microsoft.com/office/2006/metadata/properties" ma:root="true" ma:fieldsID="18363581462487b1601cb40b3702f8c4" ns2:_="">
    <xsd:import namespace="0c358ca6-52be-4b56-b6a2-b20e9c7c30fa"/>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358ca6-52be-4b56-b6a2-b20e9c7c30f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6762E55-CC2A-4F1A-AD50-38B82CFF025E}">
  <ds:schemaRefs>
    <ds:schemaRef ds:uri="http://purl.org/dc/elements/1.1/"/>
    <ds:schemaRef ds:uri="http://schemas.microsoft.com/office/2006/metadata/properties"/>
    <ds:schemaRef ds:uri="c12b6c51-fe24-46c8-9bd6-714689134dd0"/>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570CC939-A28A-4BD3-929D-C710E64332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358ca6-52be-4b56-b6a2-b20e9c7c30f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5FF6EC9-3E12-4D4F-B77D-256AA2906FC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DocSecurity>0</DocSecurity>
  <ScaleCrop>false</ScaleCrop>
  <HeadingPairs>
    <vt:vector size="2" baseType="variant">
      <vt:variant>
        <vt:lpstr>ワークシート</vt:lpstr>
      </vt:variant>
      <vt:variant>
        <vt:i4>10</vt:i4>
      </vt:variant>
    </vt:vector>
  </HeadingPairs>
  <TitlesOfParts>
    <vt:vector size="10" baseType="lpstr">
      <vt:lpstr>概要</vt:lpstr>
      <vt:lpstr>データ入力</vt:lpstr>
      <vt:lpstr>ロジスティック</vt:lpstr>
      <vt:lpstr>指数</vt:lpstr>
      <vt:lpstr>ゴンペルツ</vt:lpstr>
      <vt:lpstr>指数一般化</vt:lpstr>
      <vt:lpstr>習熟S字</vt:lpstr>
      <vt:lpstr>遅延S字</vt:lpstr>
      <vt:lpstr>習熟S字_3変数</vt:lpstr>
      <vt:lpstr>修正指数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2010-10-25T08:08:09Z</cp:lastPrinted>
  <dcterms:created xsi:type="dcterms:W3CDTF">1997-01-08T22:48:59Z</dcterms:created>
  <dcterms:modified xsi:type="dcterms:W3CDTF">2021-09-23T17:46:18Z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0x010100F3E71C9693725B4EB39FDA9808B9B300</vt:lpwstr>
  </property>
</Properties>
</file>